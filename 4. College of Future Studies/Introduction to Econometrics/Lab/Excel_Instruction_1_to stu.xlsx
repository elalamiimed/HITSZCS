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Ex1.xml" ContentType="application/vnd.ms-office.chartex+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868" windowHeight="13440" activeTab="3"/>
  </bookViews>
  <sheets>
    <sheet name="Sheet1-example 公交站等待时间" sheetId="1" r:id="rId1"/>
    <sheet name="Sheet2-exercise" sheetId="2" r:id="rId2"/>
    <sheet name="Sheet3-exercise" sheetId="3" r:id="rId3"/>
    <sheet name="Sheet4-exercise" sheetId="4" r:id="rId4"/>
  </sheets>
  <externalReferences>
    <externalReference r:id="rId5"/>
  </externalReferences>
  <definedNames>
    <definedName name="_xlchart.v1.0" hidden="1">'Sheet1-example 公交站等待时间'!$D$27:$D$33</definedName>
    <definedName name="_xlchart.v1.1" hidden="1">'Sheet1-example 公交站等待时间'!$F$27:$F$33</definedName>
    <definedName name="_xlchart.v1.2" hidden="1">'Sheet1-example 公交站等待时间'!$F$26</definedName>
    <definedName name="_xlchart.v1.3" hidden="1">'Sheet4-exercise'!$C$18:$C$26</definedName>
    <definedName name="_xlchart.v1.4" hidden="1">'Sheet4-exercise'!$G$18:$G$26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<sst xmlns="http://schemas.openxmlformats.org/spreadsheetml/2006/main" count="189" uniqueCount="172">
  <si>
    <t>Bus wating time(in minutes) was measured in a bus stop during 1 hour. 在一个公交站 1 小时内测量了公交等待时间（单位：分钟）。</t>
  </si>
  <si>
    <t>(a) What is the appropriate graph for this kind of data set? Why?  (a) 这类数据集适合什么图？为什么？</t>
  </si>
  <si>
    <t>Histogram, Frequency Polygon, or Ogive. Since we have quantitative data.</t>
  </si>
  <si>
    <t>直方图、频数多边形或累积频数图（Ogive）。因为这是定量数据。</t>
  </si>
  <si>
    <t>(b) How many observations do you have?一共有多少个观测值？</t>
  </si>
  <si>
    <t>(c) Using the data set, create a histogram with classes of 0~5, 5~10, 10~15, 15~20, 20~25, 25~30, 30~35</t>
  </si>
  <si>
    <t>使用该数据集，创建组距为 0~5、5~10、10~15、15~20、20~25、25~30、30~35 的直方图</t>
  </si>
  <si>
    <t>(d)  How do you deal with the upper limit such as 5 for class 0~5?如何处理像 0~5 中 5 这样的上限？</t>
  </si>
  <si>
    <t>Since Excel treats upper limits as if they were closed, we need to set the upper limit slightly less than the actual. For example, 4.99 instead of 5.</t>
  </si>
  <si>
    <t>由于 Excel 把上限当作闭区间处理，需要把上限设得略小于实际值。例如用 4.99 代替 5。</t>
  </si>
  <si>
    <t>e) Using the first set of classes, draw a frequency polygon and ogive for the data. Do these graphs convey some additional information? 使用第一组类别，为数据画频数多边形和累积频数图。这些图是否传达了额外信息？</t>
  </si>
  <si>
    <r>
      <rPr>
        <sz val="11"/>
        <color rgb="FFFF0000"/>
        <rFont val="Calibri"/>
        <charset val="134"/>
      </rPr>
      <t>A frequency polygon is a different expression of a histogram using line.</t>
    </r>
    <r>
      <rPr>
        <sz val="11"/>
        <color rgb="FFFF0000"/>
        <rFont val="宋体"/>
        <charset val="129"/>
      </rPr>
      <t>频数多边形是用折线表达直方图的另一种方式。</t>
    </r>
  </si>
  <si>
    <r>
      <rPr>
        <sz val="11"/>
        <color rgb="FFFF0000"/>
        <rFont val="Calibri"/>
        <charset val="134"/>
      </rPr>
      <t>It contains similar information with a histogram, though a frequency polygon makes it easier to observe a trend.</t>
    </r>
    <r>
      <rPr>
        <sz val="11"/>
        <color rgb="FFFF0000"/>
        <rFont val="宋体"/>
        <charset val="129"/>
      </rPr>
      <t>它与直方图包含相似信息，但更容易观察趋势。</t>
    </r>
  </si>
  <si>
    <r>
      <rPr>
        <sz val="11"/>
        <color rgb="FFFF0000"/>
        <rFont val="Calibri"/>
        <charset val="134"/>
      </rPr>
      <t xml:space="preserve">Ogive gives you the information about cumulative distribution of observations. </t>
    </r>
    <r>
      <rPr>
        <sz val="11"/>
        <color rgb="FFFF0000"/>
        <rFont val="宋体"/>
        <charset val="129"/>
      </rPr>
      <t>累积频数图（</t>
    </r>
    <r>
      <rPr>
        <sz val="11"/>
        <color rgb="FFFF0000"/>
        <rFont val="Calibri"/>
        <charset val="134"/>
      </rPr>
      <t>Ogive</t>
    </r>
    <r>
      <rPr>
        <sz val="11"/>
        <color rgb="FFFF0000"/>
        <rFont val="宋体"/>
        <charset val="129"/>
      </rPr>
      <t>）给出观测值的累积分布信息。</t>
    </r>
  </si>
  <si>
    <t>Wating time</t>
  </si>
  <si>
    <t>Answer for (c)</t>
  </si>
  <si>
    <t>class</t>
  </si>
  <si>
    <t>bin range</t>
  </si>
  <si>
    <t>Frequency</t>
  </si>
  <si>
    <t>0~5</t>
  </si>
  <si>
    <t>bin range组上限</t>
  </si>
  <si>
    <t>求频数</t>
  </si>
  <si>
    <t>5~10</t>
  </si>
  <si>
    <t>Cumulative %</t>
  </si>
  <si>
    <t>累积百分比</t>
  </si>
  <si>
    <t>10~15</t>
  </si>
  <si>
    <t>15~20</t>
  </si>
  <si>
    <t>20~25</t>
  </si>
  <si>
    <t>25~30</t>
  </si>
  <si>
    <t>30~35</t>
  </si>
  <si>
    <t>Answer for (e)</t>
  </si>
  <si>
    <t xml:space="preserve">The following data list the NBA players leading in 2008-2009 regular season points per game (PPG). 1=guard, 2=center,3=forward </t>
  </si>
  <si>
    <t>1. Calculate the mean and median for PPG?</t>
  </si>
  <si>
    <t>计算 PPG 的均值和下中位数？</t>
  </si>
  <si>
    <t xml:space="preserve">2. If LeBron's PPG were typed in as 284 by mistake, how much do you expect the mistaken mean PPG would be? How much about the median? </t>
  </si>
  <si>
    <t>如果 LeBron 的 PPG 错输入为 284，你预计错误均值是多少？中位数呢？</t>
  </si>
  <si>
    <t xml:space="preserve">3. Calculate the mistaken mean and median. Does the typo matter to the same extent? What does it suggest? </t>
  </si>
  <si>
    <t>计算错误后的均值和下中位数。打字错误影响程度相同吗？说明什么？</t>
  </si>
  <si>
    <t xml:space="preserve">4. Calculate appropriate measure of center for position. </t>
  </si>
  <si>
    <t> 计算位置的合适中心度量。</t>
  </si>
  <si>
    <t>5. To answer the question "are the 50 leading scorers equally good?", which kind of measure is relevant? Calculate them.</t>
  </si>
  <si>
    <t>为回答“50 名领先得分手是否同样优秀？”，哪种度量相关？计算它们。</t>
  </si>
  <si>
    <t>6. If we want to compare the variability of the 50 players scoring skill with the variability of their salary, which measure is relevant? Why?</t>
  </si>
  <si>
    <t>若比较 50 名球员得分能力与薪水的变异性，哪种度量相关？为什么？</t>
  </si>
  <si>
    <t>7. Suppose we are interested in PPG of all NBA players and using the 50 leading scorers as a sample, do the measures of center change value? If so, calcuate them.</t>
  </si>
  <si>
    <t>假设关心所有 NBA 球员的 PPG，并用 50 名领先得分手作为样本，中心度量会改变吗？若会，计算。</t>
  </si>
  <si>
    <t xml:space="preserve">8. Suppose we are interested in PPG of all NBA players and using the 50 leading scorers as a sample, do the measures of dispersion change value? If so, calculate them. </t>
  </si>
  <si>
    <t>同样用 50 名领先得分手作为样本，离散度量会改变吗？若会，计算。</t>
  </si>
  <si>
    <t xml:space="preserve">9. Suppose the data set is a sample, apply Descriptive Statistics in Data Analysis and point out those outputs for PPG. </t>
  </si>
  <si>
    <t>假设数据集是样本，用数据分析中的描述统计，指出 PPG 的输出。</t>
  </si>
  <si>
    <t>Player</t>
  </si>
  <si>
    <t>PPG</t>
  </si>
  <si>
    <t>Position</t>
  </si>
  <si>
    <t>Dwyane Wade , MIA</t>
  </si>
  <si>
    <t>LeBron James , CLE</t>
  </si>
  <si>
    <t>Kobe Bryant , LAL</t>
  </si>
  <si>
    <t>Dirk Nowitzki , DAL</t>
  </si>
  <si>
    <t>Danny Granger , IND</t>
  </si>
  <si>
    <t>Kevin Durant , OKC</t>
  </si>
  <si>
    <t>Kevin Martin , SAC</t>
  </si>
  <si>
    <t>Al Jefferson , MIN</t>
  </si>
  <si>
    <t>Chris Paul , NOH</t>
  </si>
  <si>
    <t>Carmelo Anthony , DEN</t>
  </si>
  <si>
    <t>Chris Bosh , TOR</t>
  </si>
  <si>
    <t>Brandon Roy , POR</t>
  </si>
  <si>
    <t>Antawn Jamison , WAS</t>
  </si>
  <si>
    <t>Tony Parker , SAS</t>
  </si>
  <si>
    <t>Amar'e Stoudemire , PHX</t>
  </si>
  <si>
    <t>Joe Johnson , ATL</t>
  </si>
  <si>
    <t>Devin Harris , NJN</t>
  </si>
  <si>
    <t>Michael Redd , MIL</t>
  </si>
  <si>
    <t>David West , NOH</t>
  </si>
  <si>
    <t>Zach Randolph , LAC-NYK</t>
  </si>
  <si>
    <t>Caron Butler , WAS</t>
  </si>
  <si>
    <t>Vince Carter , NJN</t>
  </si>
  <si>
    <t>Stephen Jackson , GSW</t>
  </si>
  <si>
    <t>Ben Gordon , CHI</t>
  </si>
  <si>
    <t>Dwight Howard , ORL</t>
  </si>
  <si>
    <t>Paul Pierce , BOS</t>
  </si>
  <si>
    <t>Al Harrington , NYK-GSW</t>
  </si>
  <si>
    <t>Jamal Crawford , GSW-NYK</t>
  </si>
  <si>
    <t>Ming Yao , HOU</t>
  </si>
  <si>
    <t>Richard Jefferson , MIL</t>
  </si>
  <si>
    <t>Jason Terry , DAL</t>
  </si>
  <si>
    <t>Deron Williams , UTA</t>
  </si>
  <si>
    <t>Tim Duncan , SAS</t>
  </si>
  <si>
    <t>Monta Ellis , GSW</t>
  </si>
  <si>
    <t>Rudy Gay , MEM</t>
  </si>
  <si>
    <t>Pau Gasol , LAL</t>
  </si>
  <si>
    <t>Andre Iguodala , PHI</t>
  </si>
  <si>
    <t>Corey Maggette , GSW</t>
  </si>
  <si>
    <t>* O.J. Mayo , MEM</t>
  </si>
  <si>
    <t>John Salmons , CHI-SAC</t>
  </si>
  <si>
    <t>Richard Hamilton , DET</t>
  </si>
  <si>
    <t>Ray Allen , BOS</t>
  </si>
  <si>
    <t>LaMarcus Aldridge , POR</t>
  </si>
  <si>
    <t>Josh Howard , DAL</t>
  </si>
  <si>
    <t>Mo Williams , CLE</t>
  </si>
  <si>
    <t>Shaquille O'Neal , PHX</t>
  </si>
  <si>
    <t>Rashard Lewis , ORL</t>
  </si>
  <si>
    <t>Chauncey Billups , DEN-DET</t>
  </si>
  <si>
    <t>Allen Iverson , DET-DEN</t>
  </si>
  <si>
    <t>Nate Robinson , NYK</t>
  </si>
  <si>
    <r>
      <rPr>
        <sz val="11"/>
        <color theme="1"/>
        <rFont val="Calibri"/>
        <charset val="134"/>
        <scheme val="minor"/>
      </rPr>
      <t>The following is a sample of metro areas in the USA. You are a manager in an urban planning association, and you are interested in the relationship between</t>
    </r>
    <r>
      <rPr>
        <b/>
        <sz val="11"/>
        <color rgb="FF000000"/>
        <rFont val="Calibri"/>
        <charset val="134"/>
      </rPr>
      <t xml:space="preserve"> average home value</t>
    </r>
    <r>
      <rPr>
        <sz val="11"/>
        <color theme="1"/>
        <rFont val="Calibri"/>
        <charset val="134"/>
        <scheme val="minor"/>
      </rPr>
      <t xml:space="preserve"> (in thousands of dollars) and </t>
    </r>
    <r>
      <rPr>
        <b/>
        <sz val="11"/>
        <color rgb="FF000000"/>
        <rFont val="Calibri"/>
        <charset val="134"/>
      </rPr>
      <t>average personal income</t>
    </r>
    <r>
      <rPr>
        <sz val="11"/>
        <color theme="1"/>
        <rFont val="Calibri"/>
        <charset val="134"/>
        <scheme val="minor"/>
      </rPr>
      <t>(in thousands of dollars) in metro areas.</t>
    </r>
  </si>
  <si>
    <t>以下是美国都市区的一个样本。你是某城市规划协会的一名经理，你对都市区平均房屋价值（单位：千美元）与平均个人收入（单位：千美元）之间的关系感兴趣。</t>
  </si>
  <si>
    <r>
      <rPr>
        <sz val="11"/>
        <color theme="1"/>
        <rFont val="Calibri"/>
        <charset val="134"/>
        <scheme val="minor"/>
      </rPr>
      <t xml:space="preserve">1. Using your judgment only, do you think there is a relationship between </t>
    </r>
    <r>
      <rPr>
        <b/>
        <sz val="11"/>
        <color indexed="8"/>
        <rFont val="Calibri"/>
        <charset val="134"/>
      </rPr>
      <t>average</t>
    </r>
    <r>
      <rPr>
        <sz val="11"/>
        <color theme="1"/>
        <rFont val="Calibri"/>
        <charset val="134"/>
        <scheme val="minor"/>
      </rPr>
      <t xml:space="preserve"> </t>
    </r>
    <r>
      <rPr>
        <b/>
        <sz val="11"/>
        <color indexed="8"/>
        <rFont val="Calibri"/>
        <charset val="134"/>
      </rPr>
      <t xml:space="preserve">home value </t>
    </r>
    <r>
      <rPr>
        <sz val="11"/>
        <color theme="1"/>
        <rFont val="Calibri"/>
        <charset val="134"/>
        <scheme val="minor"/>
      </rPr>
      <t xml:space="preserve"> and </t>
    </r>
    <r>
      <rPr>
        <b/>
        <sz val="11"/>
        <color indexed="8"/>
        <rFont val="Calibri"/>
        <charset val="134"/>
      </rPr>
      <t>average personal income</t>
    </r>
    <r>
      <rPr>
        <sz val="11"/>
        <color theme="1"/>
        <rFont val="Calibri"/>
        <charset val="134"/>
        <scheme val="minor"/>
      </rPr>
      <t>?  What relationship would you expect?</t>
    </r>
  </si>
  <si>
    <t>仅凭判断，你认为平均房屋价值和平均个人收入之间有关系吗？预期什么关系？</t>
  </si>
  <si>
    <r>
      <rPr>
        <sz val="11"/>
        <color theme="1"/>
        <rFont val="Calibri"/>
        <charset val="134"/>
        <scheme val="minor"/>
      </rPr>
      <t xml:space="preserve">2. Which do you think is the </t>
    </r>
    <r>
      <rPr>
        <b/>
        <sz val="11"/>
        <color indexed="8"/>
        <rFont val="Calibri"/>
        <charset val="134"/>
      </rPr>
      <t>causal or independent variable</t>
    </r>
    <r>
      <rPr>
        <sz val="11"/>
        <color theme="1"/>
        <rFont val="Calibri"/>
        <charset val="134"/>
        <scheme val="minor"/>
      </rPr>
      <t>? Which do you think is the</t>
    </r>
    <r>
      <rPr>
        <b/>
        <sz val="11"/>
        <color indexed="8"/>
        <rFont val="Calibri"/>
        <charset val="134"/>
      </rPr>
      <t xml:space="preserve"> response or dependent variable</t>
    </r>
    <r>
      <rPr>
        <sz val="11"/>
        <color theme="1"/>
        <rFont val="Calibri"/>
        <charset val="134"/>
        <scheme val="minor"/>
      </rPr>
      <t>?</t>
    </r>
  </si>
  <si>
    <t xml:space="preserve"> 哪个是因果或自变量？哪个是响应或因变量？</t>
  </si>
  <si>
    <r>
      <rPr>
        <sz val="11"/>
        <color theme="1"/>
        <rFont val="Calibri"/>
        <charset val="134"/>
        <scheme val="minor"/>
      </rPr>
      <t xml:space="preserve">3. If we are interested in the linear relationship between average home value and average personal income </t>
    </r>
    <r>
      <rPr>
        <b/>
        <sz val="11"/>
        <color rgb="FF000000"/>
        <rFont val="Calibri"/>
        <charset val="134"/>
      </rPr>
      <t>just for these 43 major metro areas</t>
    </r>
    <r>
      <rPr>
        <sz val="11"/>
        <color theme="1"/>
        <rFont val="Calibri"/>
        <charset val="134"/>
        <scheme val="minor"/>
      </rPr>
      <t xml:space="preserve">, could you find </t>
    </r>
    <r>
      <rPr>
        <b/>
        <sz val="11"/>
        <color rgb="FF000000"/>
        <rFont val="Calibri"/>
        <charset val="134"/>
      </rPr>
      <t>population covariance</t>
    </r>
    <r>
      <rPr>
        <sz val="11"/>
        <color theme="1"/>
        <rFont val="Calibri"/>
        <charset val="134"/>
        <scheme val="minor"/>
      </rPr>
      <t xml:space="preserve"> and</t>
    </r>
    <r>
      <rPr>
        <b/>
        <sz val="11"/>
        <color rgb="FF000000"/>
        <rFont val="Calibri"/>
        <charset val="134"/>
      </rPr>
      <t xml:space="preserve"> population correlation coefficient</t>
    </r>
    <r>
      <rPr>
        <sz val="11"/>
        <color theme="1"/>
        <rFont val="Calibri"/>
        <charset val="134"/>
        <scheme val="minor"/>
      </rPr>
      <t>?</t>
    </r>
  </si>
  <si>
    <t>如果只对这 43 个大都市区的线性关系感兴趣，能否求总体协方差和总体相关系数？</t>
  </si>
  <si>
    <r>
      <rPr>
        <sz val="11"/>
        <color theme="1"/>
        <rFont val="Calibri"/>
        <charset val="134"/>
        <scheme val="minor"/>
      </rPr>
      <t>4. If we are interested in the relationship between average home value and average personal income among</t>
    </r>
    <r>
      <rPr>
        <b/>
        <sz val="11"/>
        <color indexed="8"/>
        <rFont val="Calibri"/>
        <charset val="134"/>
      </rPr>
      <t xml:space="preserve"> all the metro areas in USA</t>
    </r>
    <r>
      <rPr>
        <sz val="11"/>
        <color theme="1"/>
        <rFont val="Calibri"/>
        <charset val="134"/>
        <scheme val="minor"/>
      </rPr>
      <t>, could you find</t>
    </r>
    <r>
      <rPr>
        <b/>
        <sz val="11"/>
        <color indexed="8"/>
        <rFont val="Calibri"/>
        <charset val="134"/>
      </rPr>
      <t xml:space="preserve"> sample covariance</t>
    </r>
    <r>
      <rPr>
        <sz val="11"/>
        <color theme="1"/>
        <rFont val="Calibri"/>
        <charset val="134"/>
        <scheme val="minor"/>
      </rPr>
      <t xml:space="preserve"> and</t>
    </r>
    <r>
      <rPr>
        <b/>
        <sz val="11"/>
        <color indexed="8"/>
        <rFont val="Calibri"/>
        <charset val="134"/>
      </rPr>
      <t xml:space="preserve"> sample correlation coefficient</t>
    </r>
    <r>
      <rPr>
        <sz val="11"/>
        <color theme="1"/>
        <rFont val="Calibri"/>
        <charset val="134"/>
        <scheme val="minor"/>
      </rPr>
      <t>?</t>
    </r>
  </si>
  <si>
    <t>如果对所有美国都市区的关系感兴趣，能否求样本协方差和样本相关系数？</t>
  </si>
  <si>
    <r>
      <rPr>
        <sz val="11"/>
        <color theme="1"/>
        <rFont val="Calibri"/>
        <charset val="134"/>
        <scheme val="minor"/>
      </rPr>
      <t>5. What is the proper measure of the</t>
    </r>
    <r>
      <rPr>
        <b/>
        <sz val="11"/>
        <color indexed="8"/>
        <rFont val="Calibri"/>
        <charset val="134"/>
      </rPr>
      <t xml:space="preserve"> relative strength </t>
    </r>
    <r>
      <rPr>
        <sz val="11"/>
        <color theme="1"/>
        <rFont val="Calibri"/>
        <charset val="134"/>
        <scheme val="minor"/>
      </rPr>
      <t>of the relationship? Explain why and interpret it.</t>
    </r>
  </si>
  <si>
    <t>衡量关系相对强度的合适度量是什么？解释为什么并解释它。</t>
  </si>
  <si>
    <r>
      <rPr>
        <sz val="11"/>
        <color theme="1"/>
        <rFont val="Calibri"/>
        <charset val="134"/>
        <scheme val="minor"/>
      </rPr>
      <t xml:space="preserve">6. What is the best </t>
    </r>
    <r>
      <rPr>
        <b/>
        <sz val="11"/>
        <color indexed="8"/>
        <rFont val="Calibri"/>
        <charset val="134"/>
      </rPr>
      <t xml:space="preserve">graphical </t>
    </r>
    <r>
      <rPr>
        <sz val="11"/>
        <color theme="1"/>
        <rFont val="Calibri"/>
        <charset val="134"/>
        <scheme val="minor"/>
      </rPr>
      <t>representation for showing this relationship? Draw it.</t>
    </r>
  </si>
  <si>
    <t>展示这种关系的最佳图形表示是什么？画出来。</t>
  </si>
  <si>
    <t>7. What is the least squares line? Interpret the intercept and the slope.</t>
  </si>
  <si>
    <t>最小二乘线是什么？解释截距和斜率。</t>
  </si>
  <si>
    <t>8. Predict the average home value in a metro area when average personal income is 40 thousand dollars.</t>
  </si>
  <si>
    <t>Metro Area</t>
  </si>
  <si>
    <t>Average personal Income</t>
  </si>
  <si>
    <t>Average Home Value</t>
  </si>
  <si>
    <t>ATLANTA</t>
  </si>
  <si>
    <t>BALTIMORE</t>
  </si>
  <si>
    <t>BIRMINGHAM</t>
  </si>
  <si>
    <t>BOSTON</t>
  </si>
  <si>
    <t>BUFFALO</t>
  </si>
  <si>
    <t>CHARLOTTE</t>
  </si>
  <si>
    <t>CHICAGO</t>
  </si>
  <si>
    <t>CINCINNATI</t>
  </si>
  <si>
    <t>CLEVELAND</t>
  </si>
  <si>
    <t>COLUMBUS</t>
  </si>
  <si>
    <t>DALLAS</t>
  </si>
  <si>
    <t>DENVER</t>
  </si>
  <si>
    <t>DETROIT</t>
  </si>
  <si>
    <t>HARTFORD</t>
  </si>
  <si>
    <t>HOUSTON</t>
  </si>
  <si>
    <t>INDIANAPOLIS</t>
  </si>
  <si>
    <t>KANSASCITY</t>
  </si>
  <si>
    <t>LOSANGELES</t>
  </si>
  <si>
    <t>MEMPHIS</t>
  </si>
  <si>
    <t>MIAMI</t>
  </si>
  <si>
    <t>MILWAUKEE</t>
  </si>
  <si>
    <t>MINNEAPOLISSTPAUL</t>
  </si>
  <si>
    <t>NEWORLEANS</t>
  </si>
  <si>
    <t>NEWYORK</t>
  </si>
  <si>
    <t>NORFOLK</t>
  </si>
  <si>
    <t>OKLAHOMACITY</t>
  </si>
  <si>
    <t>PHILADELPHIA</t>
  </si>
  <si>
    <t>PHOENIX</t>
  </si>
  <si>
    <t>PITTSBURGH</t>
  </si>
  <si>
    <t>PORTLAND</t>
  </si>
  <si>
    <t>PROVIDENCE</t>
  </si>
  <si>
    <t>SACRAMENTO</t>
  </si>
  <si>
    <t>SALTLAKECITY</t>
  </si>
  <si>
    <t>SANANTONIO</t>
  </si>
  <si>
    <t>SANBERNADINO</t>
  </si>
  <si>
    <t>SANDIEGO</t>
  </si>
  <si>
    <t>SANFRANCISCO</t>
  </si>
  <si>
    <t>SANJOSE</t>
  </si>
  <si>
    <t>SANTAANA</t>
  </si>
  <si>
    <t>SEATTLE</t>
  </si>
  <si>
    <t>STLOUIS</t>
  </si>
  <si>
    <t>TAMPA</t>
  </si>
  <si>
    <t>WASHINGTONDC</t>
  </si>
  <si>
    <r>
      <t xml:space="preserve">Numbers below are weight measurements of Indiana Hoosiers football team roster. (from IU atheletics webpage) </t>
    </r>
    <r>
      <rPr>
        <b/>
        <sz val="11"/>
        <color rgb="FF000000"/>
        <rFont val="宋体"/>
        <charset val="134"/>
      </rPr>
      <t>以下是印第安纳大学山地人队（</t>
    </r>
    <r>
      <rPr>
        <b/>
        <sz val="11"/>
        <color rgb="FF000000"/>
        <rFont val="Calibri"/>
        <charset val="134"/>
      </rPr>
      <t>Hoosiers</t>
    </r>
    <r>
      <rPr>
        <b/>
        <sz val="11"/>
        <color rgb="FF000000"/>
        <rFont val="宋体"/>
        <charset val="134"/>
      </rPr>
      <t>）橄榄球队名单的体重测量数据。（来自</t>
    </r>
    <r>
      <rPr>
        <b/>
        <sz val="11"/>
        <color rgb="FF000000"/>
        <rFont val="Calibri"/>
        <charset val="134"/>
      </rPr>
      <t xml:space="preserve"> IU </t>
    </r>
    <r>
      <rPr>
        <b/>
        <sz val="11"/>
        <color rgb="FF000000"/>
        <rFont val="宋体"/>
        <charset val="134"/>
      </rPr>
      <t>体育网页）</t>
    </r>
  </si>
  <si>
    <t>(a) How many observations do you have?你一共有多少个观测值？</t>
  </si>
  <si>
    <t>(b) Is this data numerical? If so, is it continuous or discrete?这些数据是数值型数据吗？如果是，是连续型还是离散型？</t>
  </si>
  <si>
    <t>(c) Draw two histogram based on this data, one with the bin class size of 20 lbs and the other with the bin class size of 50lbs. 根据这些数据画两个直方图，一个组距为 20 磅，另一个组距为 50 磅。</t>
  </si>
  <si>
    <t>(d) Which histogram is more informative? Why?哪个直方图提供的信息更多？为什么？</t>
  </si>
  <si>
    <t>(lbs)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</si>
</sst>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Calibri"/>
      <charset val="134"/>
      <scheme val="minor"/>
    </font>
    <font>
      <sz val="11"/>
      <color theme="1"/>
      <name val="Calibri"/>
      <charset val="134"/>
      <scheme val="minor"/>
    </font>
    <font>
      <b/>
      <sz val="11"/>
      <color rgb="FF000000"/>
      <name val="Calibri"/>
      <charset val="134"/>
    </font>
    <font>
      <sz val="11"/>
      <color rgb="FFFF0000"/>
      <name val="Calibri"/>
      <charset val="134"/>
      <scheme val="minor"/>
    </font>
    <font>
      <sz val="11"/>
      <color indexed="10"/>
      <name val="Calibri"/>
      <charset val="134"/>
    </font>
    <font>
      <sz val="11"/>
      <color indexed="10"/>
      <name val="Calibri"/>
      <charset val="129"/>
    </font>
    <font>
      <sz val="11"/>
      <color rgb="FFFF0000"/>
      <name val="Calibri"/>
      <charset val="129"/>
    </font>
    <font>
      <i/>
      <sz val="11"/>
      <color theme="1"/>
      <name val="Calibri"/>
      <charset val="134"/>
      <scheme val="minor"/>
    </font>
    <font>
      <i/>
      <sz val="11"/>
      <color indexed="8"/>
      <name val="Calibri"/>
      <charset val="129"/>
    </font>
    <font>
      <sz val="11"/>
      <color rgb="FFFF0000"/>
      <name val="Calibri"/>
      <charset val="134"/>
      <scheme val="minor"/>
    </font>
    <font>
      <sz val="10"/>
      <name val="Arial"/>
      <charset val="134"/>
    </font>
    <font>
      <sz val="11"/>
      <color rgb="FFFF0000"/>
      <name val="Calibri"/>
      <charset val="134"/>
    </font>
    <font>
      <sz val="11"/>
      <color indexed="10"/>
      <name val="Calibri"/>
      <charset val="134"/>
    </font>
    <font>
      <b/>
      <sz val="11"/>
      <color rgb="FFFF0000"/>
      <name val="宋体"/>
      <charset val="134"/>
    </font>
    <font>
      <i/>
      <sz val="11"/>
      <color indexed="8"/>
      <name val="Calibri"/>
      <charset val="134"/>
    </font>
    <font>
      <b/>
      <sz val="11"/>
      <color rgb="FFFF0000"/>
      <name val="Calibri"/>
      <charset val="134"/>
    </font>
    <font>
      <sz val="12"/>
      <color rgb="FF0F1115"/>
      <name val="Segoe UI"/>
      <charset val="134"/>
    </font>
    <font>
      <sz val="12"/>
      <color rgb="FFFF0000"/>
      <name val="Times New Roman"/>
      <charset val="134"/>
    </font>
    <font>
      <sz val="12"/>
      <name val="Times New Roman"/>
      <charset val="134"/>
    </font>
    <font>
      <sz val="10"/>
      <color indexed="10"/>
      <name val="Arial"/>
      <charset val="134"/>
    </font>
    <font>
      <sz val="10"/>
      <color rgb="FFFF0000"/>
      <name val="Arial"/>
      <charset val="134"/>
    </font>
    <font>
      <i/>
      <sz val="10"/>
      <name val="Arial"/>
      <charset val="134"/>
    </font>
    <font>
      <b/>
      <u/>
      <sz val="10"/>
      <name val="Arial"/>
      <charset val="134"/>
    </font>
    <font>
      <b/>
      <sz val="11"/>
      <color theme="1"/>
      <name val="Calibri"/>
      <charset val="134"/>
      <scheme val="minor"/>
    </font>
    <font>
      <sz val="10"/>
      <color rgb="FFFF0000"/>
      <name val="Segoe UI"/>
      <charset val="134"/>
    </font>
    <font>
      <sz val="10"/>
      <color rgb="FF0F1115"/>
      <name val="Segoe UI"/>
      <charset val="134"/>
    </font>
    <font>
      <sz val="11.25"/>
      <color rgb="FF0F1115"/>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FF0000"/>
      <name val="宋体"/>
      <charset val="129"/>
    </font>
    <font>
      <b/>
      <sz val="11"/>
      <color rgb="FF000000"/>
      <name val="Calibri"/>
      <charset val="134"/>
    </font>
    <font>
      <b/>
      <sz val="11"/>
      <color indexed="8"/>
      <name val="Calibri"/>
      <charset val="134"/>
    </font>
    <font>
      <b/>
      <sz val="11"/>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medium">
        <color auto="1"/>
      </top>
      <bottom style="thin">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2" borderId="3"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4" applyNumberFormat="0" applyFill="0" applyAlignment="0" applyProtection="0">
      <alignment vertical="center"/>
    </xf>
    <xf numFmtId="0" fontId="33" fillId="0" borderId="4" applyNumberFormat="0" applyFill="0" applyAlignment="0" applyProtection="0">
      <alignment vertical="center"/>
    </xf>
    <xf numFmtId="0" fontId="34" fillId="0" borderId="5" applyNumberFormat="0" applyFill="0" applyAlignment="0" applyProtection="0">
      <alignment vertical="center"/>
    </xf>
    <xf numFmtId="0" fontId="34" fillId="0" borderId="0" applyNumberFormat="0" applyFill="0" applyBorder="0" applyAlignment="0" applyProtection="0">
      <alignment vertical="center"/>
    </xf>
    <xf numFmtId="0" fontId="35" fillId="3" borderId="6" applyNumberFormat="0" applyAlignment="0" applyProtection="0">
      <alignment vertical="center"/>
    </xf>
    <xf numFmtId="0" fontId="36" fillId="4" borderId="7" applyNumberFormat="0" applyAlignment="0" applyProtection="0">
      <alignment vertical="center"/>
    </xf>
    <xf numFmtId="0" fontId="37" fillId="4" borderId="6" applyNumberFormat="0" applyAlignment="0" applyProtection="0">
      <alignment vertical="center"/>
    </xf>
    <xf numFmtId="0" fontId="38" fillId="5" borderId="8" applyNumberFormat="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1" fillId="6" borderId="0" applyNumberFormat="0" applyBorder="0" applyAlignment="0" applyProtection="0">
      <alignment vertical="center"/>
    </xf>
    <xf numFmtId="0" fontId="42" fillId="7" borderId="0" applyNumberFormat="0" applyBorder="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5"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0" fillId="0" borderId="0"/>
    <xf numFmtId="0" fontId="0" fillId="0" borderId="0">
      <alignment vertical="center"/>
    </xf>
  </cellStyleXfs>
  <cellXfs count="68">
    <xf numFmtId="0" fontId="0" fillId="0" borderId="0" xfId="0"/>
    <xf numFmtId="0" fontId="1" fillId="0" borderId="0" xfId="0" applyFont="1" applyFill="1" applyAlignment="1"/>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horizontal="right" vertical="center"/>
    </xf>
    <xf numFmtId="0" fontId="1" fillId="0" borderId="1" xfId="0" applyFont="1" applyFill="1" applyBorder="1" applyAlignment="1">
      <alignment horizontal="center" vertical="center"/>
    </xf>
    <xf numFmtId="0" fontId="1" fillId="0" borderId="0" xfId="0" applyFont="1" applyFill="1" applyBorder="1" applyAlignment="1">
      <alignment vertical="center"/>
    </xf>
    <xf numFmtId="0" fontId="7" fillId="0" borderId="1" xfId="0" applyFont="1" applyFill="1" applyBorder="1" applyAlignment="1">
      <alignment horizontal="center"/>
    </xf>
    <xf numFmtId="0" fontId="1" fillId="0" borderId="0" xfId="0" applyNumberFormat="1" applyFont="1" applyFill="1" applyBorder="1" applyAlignment="1"/>
    <xf numFmtId="0" fontId="1" fillId="0" borderId="0" xfId="0" applyFont="1" applyFill="1" applyBorder="1" applyAlignment="1"/>
    <xf numFmtId="0" fontId="8" fillId="0" borderId="0" xfId="0" applyFont="1" applyFill="1" applyBorder="1" applyAlignment="1">
      <alignment horizontal="center" vertical="center"/>
    </xf>
    <xf numFmtId="0" fontId="8" fillId="0" borderId="1" xfId="0" applyFont="1" applyFill="1" applyBorder="1" applyAlignment="1">
      <alignment horizontal="center" vertical="center"/>
    </xf>
    <xf numFmtId="0" fontId="0" fillId="0" borderId="0" xfId="0" applyFont="1" applyFill="1"/>
    <xf numFmtId="0" fontId="0" fillId="0" borderId="0" xfId="0" applyFill="1"/>
    <xf numFmtId="0" fontId="9" fillId="0" borderId="0" xfId="0" applyFont="1" applyFill="1"/>
    <xf numFmtId="2" fontId="0" fillId="0" borderId="0" xfId="0" applyNumberFormat="1"/>
    <xf numFmtId="0" fontId="10" fillId="0" borderId="0" xfId="49" applyFont="1" applyBorder="1"/>
    <xf numFmtId="2" fontId="0" fillId="0" borderId="0" xfId="49" applyNumberFormat="1" applyBorder="1" applyAlignment="1">
      <alignment horizontal="center"/>
    </xf>
    <xf numFmtId="0" fontId="11" fillId="0" borderId="0" xfId="0" applyFont="1" applyFill="1"/>
    <xf numFmtId="0" fontId="0" fillId="0" borderId="0" xfId="49" applyBorder="1"/>
    <xf numFmtId="2" fontId="0" fillId="0" borderId="0" xfId="49" applyNumberFormat="1" applyAlignment="1">
      <alignment horizontal="center"/>
    </xf>
    <xf numFmtId="0" fontId="12" fillId="0" borderId="0" xfId="0" applyFont="1" applyFill="1"/>
    <xf numFmtId="0" fontId="9" fillId="0" borderId="0" xfId="0" applyFont="1"/>
    <xf numFmtId="0" fontId="0" fillId="0" borderId="1" xfId="0" applyFont="1" applyFill="1" applyBorder="1" applyAlignment="1">
      <alignment horizontal="center"/>
    </xf>
    <xf numFmtId="0" fontId="0" fillId="0" borderId="0" xfId="0" applyFill="1" applyBorder="1" applyAlignment="1"/>
    <xf numFmtId="0" fontId="0" fillId="0" borderId="2" xfId="0" applyFill="1" applyBorder="1" applyAlignment="1"/>
    <xf numFmtId="0" fontId="13" fillId="0" borderId="0" xfId="0" applyFont="1"/>
    <xf numFmtId="0" fontId="12" fillId="0" borderId="0" xfId="0" applyFont="1" applyFill="1" applyBorder="1"/>
    <xf numFmtId="0" fontId="12" fillId="0" borderId="0" xfId="0" applyFont="1"/>
    <xf numFmtId="0" fontId="14" fillId="0" borderId="0" xfId="0" applyFont="1" applyFill="1" applyBorder="1" applyAlignment="1">
      <alignment horizontal="left"/>
    </xf>
    <xf numFmtId="0" fontId="15" fillId="0" borderId="0" xfId="0" applyFont="1" applyFill="1"/>
    <xf numFmtId="49" fontId="11" fillId="0" borderId="0" xfId="0" applyNumberFormat="1" applyFont="1" applyFill="1"/>
    <xf numFmtId="0" fontId="0" fillId="0" borderId="0" xfId="0" applyFill="1" applyBorder="1"/>
    <xf numFmtId="0" fontId="16" fillId="0" borderId="0" xfId="0" applyFont="1"/>
    <xf numFmtId="0" fontId="17" fillId="0" borderId="0" xfId="0" applyFont="1" applyAlignment="1">
      <alignment horizontal="justify" vertical="justify"/>
    </xf>
    <xf numFmtId="0" fontId="18" fillId="0" borderId="0" xfId="0" applyFont="1" applyAlignment="1">
      <alignment horizontal="justify" vertical="justify"/>
    </xf>
    <xf numFmtId="0" fontId="19" fillId="0" borderId="0" xfId="0" applyFont="1"/>
    <xf numFmtId="0" fontId="20" fillId="0" borderId="0" xfId="0" applyFont="1"/>
    <xf numFmtId="0" fontId="0" fillId="0" borderId="0" xfId="0" applyFill="1" applyBorder="1"/>
    <xf numFmtId="0" fontId="9" fillId="0" borderId="0" xfId="0" applyFont="1" applyFill="1" applyBorder="1"/>
    <xf numFmtId="0" fontId="21" fillId="0" borderId="0" xfId="0" applyFont="1" applyFill="1" applyBorder="1" applyAlignment="1">
      <alignment horizontal="center"/>
    </xf>
    <xf numFmtId="0" fontId="0" fillId="0" borderId="0" xfId="0" applyFill="1" applyBorder="1"/>
    <xf numFmtId="0" fontId="0" fillId="0" borderId="0" xfId="0" applyNumberFormat="1" applyFill="1" applyBorder="1" applyAlignment="1"/>
    <xf numFmtId="0" fontId="0" fillId="0" borderId="0" xfId="0" applyFill="1" applyBorder="1" applyAlignment="1"/>
    <xf numFmtId="0" fontId="22" fillId="0" borderId="0" xfId="0" applyFont="1" applyFill="1" applyBorder="1" applyAlignment="1">
      <alignment horizontal="right"/>
    </xf>
    <xf numFmtId="0" fontId="0" fillId="0" borderId="0" xfId="0" applyFill="1" applyBorder="1" applyAlignment="1">
      <alignment horizontal="left" wrapText="1"/>
    </xf>
    <xf numFmtId="0" fontId="9" fillId="0" borderId="0" xfId="0" applyFont="1" applyFill="1" applyBorder="1" applyAlignment="1">
      <alignment horizontal="left" wrapText="1"/>
    </xf>
    <xf numFmtId="0" fontId="21" fillId="0" borderId="0" xfId="0" applyFont="1" applyFill="1" applyBorder="1" applyAlignment="1">
      <alignment horizontal="centerContinuous"/>
    </xf>
    <xf numFmtId="0" fontId="9" fillId="0" borderId="0" xfId="0" applyFont="1" applyFill="1" applyBorder="1"/>
    <xf numFmtId="0" fontId="0" fillId="0" borderId="0" xfId="0" applyFont="1"/>
    <xf numFmtId="0" fontId="23" fillId="0" borderId="0" xfId="50" applyFont="1">
      <alignment vertical="center"/>
    </xf>
    <xf numFmtId="0" fontId="0" fillId="0" borderId="0" xfId="50">
      <alignment vertical="center"/>
    </xf>
    <xf numFmtId="0" fontId="9" fillId="0" borderId="0" xfId="50" applyFont="1">
      <alignment vertical="center"/>
    </xf>
    <xf numFmtId="0" fontId="24" fillId="0" borderId="0" xfId="0" applyFont="1"/>
    <xf numFmtId="0" fontId="25" fillId="0" borderId="0" xfId="0" applyFont="1"/>
    <xf numFmtId="0" fontId="12" fillId="0" borderId="0" xfId="0" applyFont="1" applyAlignment="1">
      <alignment vertical="center"/>
    </xf>
    <xf numFmtId="0" fontId="11" fillId="0" borderId="0" xfId="0" applyFont="1" applyAlignment="1">
      <alignment vertical="center"/>
    </xf>
    <xf numFmtId="0" fontId="0" fillId="0" borderId="0" xfId="0" applyNumberFormat="1" applyFill="1" applyBorder="1" applyAlignment="1"/>
    <xf numFmtId="0" fontId="26" fillId="0" borderId="0" xfId="0" applyFont="1"/>
    <xf numFmtId="0" fontId="0" fillId="0" borderId="0" xfId="0" applyFont="1" applyFill="1" applyBorder="1" applyAlignment="1">
      <alignment horizontal="center"/>
    </xf>
    <xf numFmtId="10" fontId="0" fillId="0" borderId="0" xfId="0" applyNumberFormat="1" applyFill="1" applyBorder="1" applyAlignment="1"/>
    <xf numFmtId="0" fontId="0" fillId="0" borderId="2" xfId="50" applyFill="1" applyBorder="1" applyAlignment="1">
      <alignment vertical="center"/>
    </xf>
    <xf numFmtId="0" fontId="0" fillId="0" borderId="0" xfId="50" applyNumberFormat="1" applyFill="1" applyBorder="1" applyAlignment="1">
      <alignment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ltLang="en-US"/>
              <a:t>Histogram</a:t>
            </a:r>
            <a:endParaRPr lang="en-US" altLang="en-US"/>
          </a:p>
        </c:rich>
      </c:tx>
      <c:layout>
        <c:manualLayout>
          <c:xMode val="edge"/>
          <c:yMode val="edge"/>
          <c:x val="0.326554297900262"/>
          <c:y val="0.0344708721130645"/>
        </c:manualLayout>
      </c:layout>
      <c:overlay val="0"/>
    </c:title>
    <c:autoTitleDeleted val="0"/>
    <c:plotArea>
      <c:layout/>
      <c:barChart>
        <c:barDir val="col"/>
        <c:grouping val="clustered"/>
        <c:varyColors val="0"/>
        <c:ser>
          <c:idx val="0"/>
          <c:order val="0"/>
          <c:tx>
            <c:strRef>
              <c:f>"Frequency"</c:f>
              <c:strCache>
                <c:ptCount val="1"/>
                <c:pt idx="0">
                  <c:v>Frequency</c:v>
                </c:pt>
              </c:strCache>
            </c:strRef>
          </c:tx>
          <c:invertIfNegative val="0"/>
          <c:dLbls>
            <c:delete val="1"/>
          </c:dLbls>
          <c:cat>
            <c:strRef>
              <c:f>'Sheet1-example 公交站等待时间'!$D$27:$D$33</c:f>
              <c:strCache>
                <c:ptCount val="7"/>
                <c:pt idx="0">
                  <c:v>0~5</c:v>
                </c:pt>
                <c:pt idx="1">
                  <c:v>5~10</c:v>
                </c:pt>
                <c:pt idx="2">
                  <c:v>10~15</c:v>
                </c:pt>
                <c:pt idx="3">
                  <c:v>15~20</c:v>
                </c:pt>
                <c:pt idx="4">
                  <c:v>20~25</c:v>
                </c:pt>
                <c:pt idx="5">
                  <c:v>25~30</c:v>
                </c:pt>
                <c:pt idx="6">
                  <c:v>30~35</c:v>
                </c:pt>
              </c:strCache>
            </c:strRef>
          </c:cat>
          <c:val>
            <c:numRef>
              <c:f>'Sheet1-example 公交站等待时间'!$L$28:$L$34</c:f>
              <c:numCache>
                <c:formatCode>General</c:formatCode>
                <c:ptCount val="7"/>
                <c:pt idx="0">
                  <c:v>12</c:v>
                </c:pt>
                <c:pt idx="1">
                  <c:v>16</c:v>
                </c:pt>
                <c:pt idx="2">
                  <c:v>11</c:v>
                </c:pt>
                <c:pt idx="3">
                  <c:v>7</c:v>
                </c:pt>
                <c:pt idx="4">
                  <c:v>2</c:v>
                </c:pt>
                <c:pt idx="5">
                  <c:v>1</c:v>
                </c:pt>
                <c:pt idx="6">
                  <c:v>1</c:v>
                </c:pt>
              </c:numCache>
            </c:numRef>
          </c:val>
        </c:ser>
        <c:dLbls>
          <c:showLegendKey val="0"/>
          <c:showVal val="0"/>
          <c:showCatName val="0"/>
          <c:showSerName val="0"/>
          <c:showPercent val="0"/>
          <c:showBubbleSize val="0"/>
        </c:dLbls>
        <c:gapWidth val="0"/>
        <c:axId val="144184320"/>
        <c:axId val="46912576"/>
      </c:barChart>
      <c:catAx>
        <c:axId val="14418432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Waiting Time</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6912576"/>
        <c:crosses val="autoZero"/>
        <c:auto val="1"/>
        <c:lblAlgn val="ctr"/>
        <c:lblOffset val="100"/>
        <c:noMultiLvlLbl val="0"/>
      </c:catAx>
      <c:valAx>
        <c:axId val="46912576"/>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Frequency</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4184320"/>
        <c:crosses val="autoZero"/>
        <c:crossBetween val="between"/>
      </c:valAx>
    </c:plotArea>
    <c:plotVisOnly val="1"/>
    <c:dispBlanksAs val="gap"/>
    <c:showDLblsOverMax val="0"/>
    <c:extLst>
      <c:ext uri="{0b15fc19-7d7d-44ad-8c2d-2c3a37ce22c3}">
        <chartProps xmlns="https://web.wps.cn/et/2018/main" chartId="{e7806592-c5d4-4bb7-9547-a4803ef76383}"/>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ltLang="en-US"/>
              <a:t>Frequency Polygon</a:t>
            </a:r>
            <a:endParaRPr lang="en-US" altLang="en-US"/>
          </a:p>
        </c:rich>
      </c:tx>
      <c:layout/>
      <c:overlay val="0"/>
    </c:title>
    <c:autoTitleDeleted val="0"/>
    <c:plotArea>
      <c:layout/>
      <c:lineChart>
        <c:grouping val="standard"/>
        <c:varyColors val="0"/>
        <c:ser>
          <c:idx val="0"/>
          <c:order val="0"/>
          <c:tx>
            <c:strRef>
              <c:f>"Frequency"</c:f>
              <c:strCache>
                <c:ptCount val="1"/>
                <c:pt idx="0">
                  <c:v>Frequency</c:v>
                </c:pt>
              </c:strCache>
            </c:strRef>
          </c:tx>
          <c:dLbls>
            <c:delete val="1"/>
          </c:dLbls>
          <c:cat>
            <c:numRef>
              <c:f>'Sheet1-example 公交站等待时间'!$K$46:$K$54</c:f>
              <c:numCache>
                <c:formatCode>General</c:formatCode>
                <c:ptCount val="9"/>
                <c:pt idx="0">
                  <c:v>0</c:v>
                </c:pt>
                <c:pt idx="1">
                  <c:v>2.5</c:v>
                </c:pt>
                <c:pt idx="2">
                  <c:v>7.5</c:v>
                </c:pt>
                <c:pt idx="3">
                  <c:v>12.5</c:v>
                </c:pt>
                <c:pt idx="4">
                  <c:v>17.5</c:v>
                </c:pt>
                <c:pt idx="5">
                  <c:v>22.5</c:v>
                </c:pt>
                <c:pt idx="6">
                  <c:v>27.5</c:v>
                </c:pt>
                <c:pt idx="7">
                  <c:v>32.5</c:v>
                </c:pt>
                <c:pt idx="8">
                  <c:v>37.5</c:v>
                </c:pt>
              </c:numCache>
            </c:numRef>
          </c:cat>
          <c:val>
            <c:numRef>
              <c:f>'Sheet1-example 公交站等待时间'!$L$46:$L$54</c:f>
              <c:numCache>
                <c:formatCode>General</c:formatCode>
                <c:ptCount val="9"/>
                <c:pt idx="0">
                  <c:v>0</c:v>
                </c:pt>
                <c:pt idx="1">
                  <c:v>12</c:v>
                </c:pt>
                <c:pt idx="2">
                  <c:v>16</c:v>
                </c:pt>
                <c:pt idx="3">
                  <c:v>11</c:v>
                </c:pt>
                <c:pt idx="4">
                  <c:v>7</c:v>
                </c:pt>
                <c:pt idx="5">
                  <c:v>2</c:v>
                </c:pt>
                <c:pt idx="6">
                  <c:v>1</c:v>
                </c:pt>
                <c:pt idx="7">
                  <c:v>1</c:v>
                </c:pt>
                <c:pt idx="8">
                  <c:v>0</c:v>
                </c:pt>
              </c:numCache>
            </c:numRef>
          </c:val>
          <c:smooth val="0"/>
        </c:ser>
        <c:dLbls>
          <c:showLegendKey val="0"/>
          <c:showVal val="0"/>
          <c:showCatName val="0"/>
          <c:showSerName val="0"/>
          <c:showPercent val="0"/>
          <c:showBubbleSize val="0"/>
        </c:dLbls>
        <c:marker val="1"/>
        <c:smooth val="0"/>
        <c:axId val="144185344"/>
        <c:axId val="46914304"/>
      </c:lineChart>
      <c:catAx>
        <c:axId val="144185344"/>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Waiting</a:t>
                </a:r>
                <a:r>
                  <a:rPr lang="en-US" altLang="en-US" baseline="0"/>
                  <a:t> Time</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6914304"/>
        <c:crosses val="autoZero"/>
        <c:auto val="1"/>
        <c:lblAlgn val="ctr"/>
        <c:lblOffset val="100"/>
        <c:noMultiLvlLbl val="0"/>
      </c:catAx>
      <c:valAx>
        <c:axId val="46914304"/>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Frequency</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4185344"/>
        <c:crosses val="autoZero"/>
        <c:crossBetween val="midCat"/>
      </c:valAx>
    </c:plotArea>
    <c:plotVisOnly val="1"/>
    <c:dispBlanksAs val="gap"/>
    <c:showDLblsOverMax val="0"/>
    <c:extLst>
      <c:ext uri="{0b15fc19-7d7d-44ad-8c2d-2c3a37ce22c3}">
        <chartProps xmlns="https://web.wps.cn/et/2018/main" chartId="{0b794b02-1e89-4bb9-a47e-764b616069e1}"/>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ltLang="en-US"/>
              <a:t>Ogive</a:t>
            </a:r>
            <a:endParaRPr lang="en-US" altLang="en-US"/>
          </a:p>
        </c:rich>
      </c:tx>
      <c:layout/>
      <c:overlay val="0"/>
    </c:title>
    <c:autoTitleDeleted val="0"/>
    <c:plotArea>
      <c:layout/>
      <c:lineChart>
        <c:grouping val="standard"/>
        <c:varyColors val="0"/>
        <c:ser>
          <c:idx val="1"/>
          <c:order val="0"/>
          <c:dLbls>
            <c:delete val="1"/>
          </c:dLbls>
          <c:cat>
            <c:numRef>
              <c:f>'Sheet1-example 公交站等待时间'!$K$62:$K$69</c:f>
              <c:numCache>
                <c:formatCode>General</c:formatCode>
                <c:ptCount val="8"/>
                <c:pt idx="0">
                  <c:v>0</c:v>
                </c:pt>
                <c:pt idx="1">
                  <c:v>5</c:v>
                </c:pt>
                <c:pt idx="2">
                  <c:v>10</c:v>
                </c:pt>
                <c:pt idx="3">
                  <c:v>15</c:v>
                </c:pt>
                <c:pt idx="4">
                  <c:v>20</c:v>
                </c:pt>
                <c:pt idx="5">
                  <c:v>25</c:v>
                </c:pt>
                <c:pt idx="6">
                  <c:v>30</c:v>
                </c:pt>
                <c:pt idx="7">
                  <c:v>35</c:v>
                </c:pt>
              </c:numCache>
            </c:numRef>
          </c:cat>
          <c:val>
            <c:numRef>
              <c:f>'Sheet1-example 公交站等待时间'!$M$62:$M$69</c:f>
              <c:numCache>
                <c:formatCode>General</c:formatCode>
                <c:ptCount val="8"/>
                <c:pt idx="0">
                  <c:v>0</c:v>
                </c:pt>
                <c:pt idx="1" c:formatCode="0.00%">
                  <c:v>0.24</c:v>
                </c:pt>
                <c:pt idx="2" c:formatCode="0.00%">
                  <c:v>0.56</c:v>
                </c:pt>
                <c:pt idx="3" c:formatCode="0.00%">
                  <c:v>0.78</c:v>
                </c:pt>
                <c:pt idx="4" c:formatCode="0.00%">
                  <c:v>0.92</c:v>
                </c:pt>
                <c:pt idx="5" c:formatCode="0.00%">
                  <c:v>0.96</c:v>
                </c:pt>
                <c:pt idx="6" c:formatCode="0.00%">
                  <c:v>0.98</c:v>
                </c:pt>
                <c:pt idx="7" c:formatCode="0.00%">
                  <c:v>1</c:v>
                </c:pt>
              </c:numCache>
            </c:numRef>
          </c:val>
          <c:smooth val="0"/>
        </c:ser>
        <c:dLbls>
          <c:showLegendKey val="0"/>
          <c:showVal val="0"/>
          <c:showCatName val="0"/>
          <c:showSerName val="0"/>
          <c:showPercent val="0"/>
          <c:showBubbleSize val="0"/>
        </c:dLbls>
        <c:marker val="1"/>
        <c:smooth val="0"/>
        <c:axId val="144185856"/>
        <c:axId val="160891456"/>
      </c:lineChart>
      <c:catAx>
        <c:axId val="144185856"/>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Waiting</a:t>
                </a:r>
                <a:r>
                  <a:rPr lang="en-US" altLang="en-US" baseline="0"/>
                  <a:t> Time</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0891456"/>
        <c:crosses val="autoZero"/>
        <c:auto val="1"/>
        <c:lblAlgn val="ctr"/>
        <c:lblOffset val="100"/>
        <c:noMultiLvlLbl val="0"/>
      </c:catAx>
      <c:valAx>
        <c:axId val="160891456"/>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Frequency</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4185856"/>
        <c:crosses val="autoZero"/>
        <c:crossBetween val="midCat"/>
      </c:valAx>
    </c:plotArea>
    <c:plotVisOnly val="1"/>
    <c:dispBlanksAs val="gap"/>
    <c:showDLblsOverMax val="0"/>
    <c:extLst>
      <c:ext uri="{0b15fc19-7d7d-44ad-8c2d-2c3a37ce22c3}">
        <chartProps xmlns="https://web.wps.cn/et/2018/main" chartId="{777ec2a0-53f2-4c4a-b650-1eeb8eb5a59f}"/>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ltLang="en-US"/>
              <a:t>Histogram</a:t>
            </a:r>
            <a:endParaRPr lang="en-US" altLang="en-US"/>
          </a:p>
        </c:rich>
      </c:tx>
      <c:layout/>
      <c:overlay val="0"/>
    </c:title>
    <c:autoTitleDeleted val="0"/>
    <c:plotArea>
      <c:layout/>
      <c:lineChart>
        <c:grouping val="standard"/>
        <c:varyColors val="0"/>
        <c:ser>
          <c:idx val="1"/>
          <c:order val="0"/>
          <c:tx>
            <c:strRef>
              <c:f>"Cumulative %"</c:f>
              <c:strCache>
                <c:ptCount val="1"/>
                <c:pt idx="0">
                  <c:v>Cumulative %</c:v>
                </c:pt>
              </c:strCache>
            </c:strRef>
          </c:tx>
          <c:dLbls>
            <c:delete val="1"/>
          </c:dLbls>
          <c:cat>
            <c:numRef>
              <c:f>'Sheet1-example 公交站等待时间'!$V$29:$V$36</c:f>
              <c:numCache>
                <c:formatCode>General</c:formatCode>
                <c:ptCount val="8"/>
                <c:pt idx="0">
                  <c:v>0</c:v>
                </c:pt>
                <c:pt idx="1">
                  <c:v>5</c:v>
                </c:pt>
                <c:pt idx="2">
                  <c:v>10</c:v>
                </c:pt>
                <c:pt idx="3">
                  <c:v>15</c:v>
                </c:pt>
                <c:pt idx="4">
                  <c:v>20</c:v>
                </c:pt>
                <c:pt idx="5">
                  <c:v>25</c:v>
                </c:pt>
                <c:pt idx="6">
                  <c:v>30</c:v>
                </c:pt>
                <c:pt idx="7">
                  <c:v>35</c:v>
                </c:pt>
              </c:numCache>
            </c:numRef>
          </c:cat>
          <c:val>
            <c:numRef>
              <c:f>'Sheet1-example 公交站等待时间'!$X$29:$X$36</c:f>
              <c:numCache>
                <c:formatCode>General</c:formatCode>
                <c:ptCount val="8"/>
                <c:pt idx="0">
                  <c:v>0</c:v>
                </c:pt>
                <c:pt idx="1" c:formatCode="0.00%">
                  <c:v>0.24</c:v>
                </c:pt>
                <c:pt idx="2" c:formatCode="0.00%">
                  <c:v>0.56</c:v>
                </c:pt>
                <c:pt idx="3" c:formatCode="0.00%">
                  <c:v>0.78</c:v>
                </c:pt>
                <c:pt idx="4" c:formatCode="0.00%">
                  <c:v>0.92</c:v>
                </c:pt>
                <c:pt idx="5" c:formatCode="0.00%">
                  <c:v>0.96</c:v>
                </c:pt>
                <c:pt idx="6" c:formatCode="0.00%">
                  <c:v>0.98</c:v>
                </c:pt>
                <c:pt idx="7" c:formatCode="0.00%">
                  <c:v>1</c:v>
                </c:pt>
              </c:numCache>
            </c:numRef>
          </c:val>
          <c:smooth val="0"/>
        </c:ser>
        <c:dLbls>
          <c:showLegendKey val="0"/>
          <c:showVal val="0"/>
          <c:showCatName val="0"/>
          <c:showSerName val="0"/>
          <c:showPercent val="0"/>
          <c:showBubbleSize val="0"/>
        </c:dLbls>
        <c:marker val="1"/>
        <c:smooth val="0"/>
        <c:axId val="144186880"/>
        <c:axId val="160893184"/>
      </c:lineChart>
      <c:catAx>
        <c:axId val="14418688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bin range</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0893184"/>
        <c:crosses val="autoZero"/>
        <c:auto val="1"/>
        <c:lblAlgn val="ctr"/>
        <c:lblOffset val="100"/>
        <c:noMultiLvlLbl val="0"/>
      </c:catAx>
      <c:valAx>
        <c:axId val="160893184"/>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ltLang="en-US"/>
                  <a:t>Frequency</a:t>
                </a:r>
                <a:endParaRPr lang="en-US" alt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418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332c7c-6227-4efb-a546-be895681077a}"/>
      </c:ext>
    </c:extLst>
  </c:chart>
  <c:txPr>
    <a:bodyPr/>
    <a:lstStyle/>
    <a:p>
      <a:pPr>
        <a:defRPr lang="en-US"/>
      </a:pP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clusteredColumn" uniqueId="{DADB6E2C-5243-44D3-99C2-588B3837111A}" formatIdx="0">
          <cx:tx>
            <cx:txData>
              <cx:f>_xlchart.v1.2</cx:f>
              <cx:v>Frequency</cx:v>
            </cx:txData>
          </cx:tx>
          <cx:dataId val="0"/>
          <cx:layoutPr>
            <cx:aggregation/>
          </cx:layoutPr>
        </cx:series>
      </cx:plotAreaRegion>
      <cx:axis id="0">
        <cx:catScaling gapWidth="0"/>
        <cx:title>
          <cx:tx>
            <cx:txData>
              <cx:v>坐标轴标题</cx:v>
            </cx:txData>
          </cx:tx>
        </cx:title>
        <cx:tickLabels/>
      </cx:axis>
      <cx:axis id="1">
        <cx:valScaling/>
        <cx:title/>
        <cx:majorGridlines/>
        <cx:tickLabels/>
      </cx:axis>
    </cx:plotArea>
  </cx:chart>
  <cx:txPr>
    <a:bodyPr/>
    <a:lstStyle/>
    <a:p>
      <a:pPr>
        <a:defRPr lang="en-US"/>
      </a:pPr>
      <a:endParaRPr lang="en-US"/>
    </a:p>
  </cx:txPr>
  <cx:printSettings>
    <cx:headerFooter/>
    <cx:pageMargins b="0.75" l="0.7" r="0.7" t="0.75" header="0.3" footer="0.3"/>
    <cx:pageSetup/>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7" Type="http://schemas.openxmlformats.org/officeDocument/2006/relationships/image" Target="../media/image2.png"/><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100965</xdr:colOff>
      <xdr:row>25</xdr:row>
      <xdr:rowOff>64770</xdr:rowOff>
    </xdr:from>
    <xdr:to>
      <xdr:col>19</xdr:col>
      <xdr:colOff>299085</xdr:colOff>
      <xdr:row>35</xdr:row>
      <xdr:rowOff>55245</xdr:rowOff>
    </xdr:to>
    <xdr:graphicFrame>
      <xdr:nvGraphicFramePr>
        <xdr:cNvPr id="2" name="Chart 1"/>
        <xdr:cNvGraphicFramePr/>
      </xdr:nvGraphicFramePr>
      <xdr:xfrm>
        <a:off x="8970645" y="4669155"/>
        <a:ext cx="3901440" cy="18707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476250</xdr:colOff>
      <xdr:row>42</xdr:row>
      <xdr:rowOff>76200</xdr:rowOff>
    </xdr:from>
    <xdr:to>
      <xdr:col>19</xdr:col>
      <xdr:colOff>228600</xdr:colOff>
      <xdr:row>54</xdr:row>
      <xdr:rowOff>133350</xdr:rowOff>
    </xdr:to>
    <xdr:graphicFrame>
      <xdr:nvGraphicFramePr>
        <xdr:cNvPr id="3" name="Chart 2"/>
        <xdr:cNvGraphicFramePr/>
      </xdr:nvGraphicFramePr>
      <xdr:xfrm>
        <a:off x="8530590" y="7840980"/>
        <a:ext cx="4271010" cy="2270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200025</xdr:colOff>
      <xdr:row>59</xdr:row>
      <xdr:rowOff>9525</xdr:rowOff>
    </xdr:from>
    <xdr:to>
      <xdr:col>20</xdr:col>
      <xdr:colOff>390525</xdr:colOff>
      <xdr:row>70</xdr:row>
      <xdr:rowOff>38100</xdr:rowOff>
    </xdr:to>
    <xdr:graphicFrame>
      <xdr:nvGraphicFramePr>
        <xdr:cNvPr id="4" name="Chart 3"/>
        <xdr:cNvGraphicFramePr/>
      </xdr:nvGraphicFramePr>
      <xdr:xfrm>
        <a:off x="9686925" y="10902315"/>
        <a:ext cx="3893820" cy="2072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337185</xdr:colOff>
      <xdr:row>6</xdr:row>
      <xdr:rowOff>99060</xdr:rowOff>
    </xdr:from>
    <xdr:to>
      <xdr:col>22</xdr:col>
      <xdr:colOff>337185</xdr:colOff>
      <xdr:row>18</xdr:row>
      <xdr:rowOff>0</xdr:rowOff>
    </xdr:to>
    <xdr:graphicFrame>
      <xdr:nvGraphicFramePr>
        <xdr:cNvPr id="13" name="Chart 12"/>
        <xdr:cNvGraphicFramePr/>
      </xdr:nvGraphicFramePr>
      <xdr:xfrm>
        <a:off x="11058525" y="1203960"/>
        <a:ext cx="3703320" cy="21107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502920</xdr:colOff>
      <xdr:row>37</xdr:row>
      <xdr:rowOff>26670</xdr:rowOff>
    </xdr:from>
    <xdr:to>
      <xdr:col>24</xdr:col>
      <xdr:colOff>434340</xdr:colOff>
      <xdr:row>50</xdr:row>
      <xdr:rowOff>152400</xdr:rowOff>
    </xdr:to>
    <mc:AlternateContent xmlns:mc="http://schemas.openxmlformats.org/markup-compatibility/2006">
      <mc:Choice xmlns:cx1="http://schemas.microsoft.com/office/drawing/2015/9/8/chartex" Requires="cx1">
        <xdr:graphicFrame>
          <xdr:nvGraphicFramePr>
            <xdr:cNvPr id="9" name="图表 8"/>
            <xdr:cNvGraphicFramePr/>
          </xdr:nvGraphicFramePr>
          <xdr:xfrm>
            <a:off x="13075920" y="6877050"/>
            <a:ext cx="3169920" cy="2512695"/>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075920" y="6877050"/>
              <a:ext cx="3169920" cy="2512695"/>
            </a:xfrm>
            <a:prstGeom prst="rect">
              <a:avLst/>
            </a:prstGeom>
            <a:solidFill>
              <a:prstClr val="white"/>
            </a:solidFill>
            <a:ln w="1">
              <a:solidFill>
                <a:prstClr val="green"/>
              </a:solidFill>
            </a:ln>
          </xdr:spPr>
          <xdr:txBody>
            <a:bodyPr vertOverflow="clip" horzOverflow="clip"/>
            <a:lstStyle/>
            <a:p>
              <a:r>
                <a:rPr lang="en-US" altLang="en-US" sz="1100"/>
                <a:t>This chart is not available in the current version.
Editing this shape or converting this workbook to a different file format will permanently break the chart.
Download the latest version of WPS to use.</a:t>
              </a:r>
            </a:p>
          </xdr:txBody>
        </xdr:sp>
      </mc:Fallback>
    </mc:AlternateContent>
    <xdr:clientData/>
  </xdr:twoCellAnchor>
  <xdr:twoCellAnchor editAs="oneCell">
    <xdr:from>
      <xdr:col>28</xdr:col>
      <xdr:colOff>251460</xdr:colOff>
      <xdr:row>37</xdr:row>
      <xdr:rowOff>0</xdr:rowOff>
    </xdr:from>
    <xdr:to>
      <xdr:col>31</xdr:col>
      <xdr:colOff>267970</xdr:colOff>
      <xdr:row>51</xdr:row>
      <xdr:rowOff>88900</xdr:rowOff>
    </xdr:to>
    <xdr:pic>
      <xdr:nvPicPr>
        <xdr:cNvPr id="10" name="图片 9"/>
        <xdr:cNvPicPr>
          <a:picLocks noChangeAspect="1"/>
        </xdr:cNvPicPr>
      </xdr:nvPicPr>
      <xdr:blipFill>
        <a:blip r:embed="rId6"/>
        <a:stretch>
          <a:fillRect/>
        </a:stretch>
      </xdr:blipFill>
      <xdr:spPr>
        <a:xfrm>
          <a:off x="18531840" y="6850380"/>
          <a:ext cx="1868170" cy="2658745"/>
        </a:xfrm>
        <a:prstGeom prst="rect">
          <a:avLst/>
        </a:prstGeom>
      </xdr:spPr>
    </xdr:pic>
    <xdr:clientData/>
  </xdr:twoCellAnchor>
  <xdr:twoCellAnchor editAs="oneCell">
    <xdr:from>
      <xdr:col>25</xdr:col>
      <xdr:colOff>0</xdr:colOff>
      <xdr:row>37</xdr:row>
      <xdr:rowOff>0</xdr:rowOff>
    </xdr:from>
    <xdr:to>
      <xdr:col>28</xdr:col>
      <xdr:colOff>23495</xdr:colOff>
      <xdr:row>51</xdr:row>
      <xdr:rowOff>57150</xdr:rowOff>
    </xdr:to>
    <xdr:pic>
      <xdr:nvPicPr>
        <xdr:cNvPr id="5" name="Picture 4"/>
        <xdr:cNvPicPr>
          <a:picLocks noChangeAspect="1"/>
        </xdr:cNvPicPr>
      </xdr:nvPicPr>
      <xdr:blipFill>
        <a:blip r:embed="rId7"/>
        <a:stretch>
          <a:fillRect/>
        </a:stretch>
      </xdr:blipFill>
      <xdr:spPr>
        <a:xfrm>
          <a:off x="16428720" y="6850380"/>
          <a:ext cx="1875155" cy="262699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D:\Courses\SJTU_STAT\Lab Activities\LA1_AN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se II"/>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Y75"/>
  <sheetViews>
    <sheetView topLeftCell="A16" workbookViewId="0">
      <selection activeCell="M28" sqref="M28"/>
    </sheetView>
  </sheetViews>
  <sheetFormatPr defaultColWidth="9" defaultRowHeight="14.4"/>
  <cols>
    <col min="11" max="11" width="18.4444444444444" customWidth="1"/>
    <col min="13" max="13" width="11.8888888888889" customWidth="1"/>
    <col min="24" max="24" width="11.2222222222222" customWidth="1"/>
  </cols>
  <sheetData>
    <row r="2" spans="1:12">
      <c r="A2" s="55" t="s">
        <v>0</v>
      </c>
    </row>
    <row r="4" spans="1:12">
      <c r="A4" s="56" t="s">
        <v>1</v>
      </c>
    </row>
    <row r="5" spans="1:12">
      <c r="A5" s="57" t="s">
        <v>2</v>
      </c>
    </row>
    <row r="6" ht="15" spans="1:12">
      <c r="A6" s="58" t="s">
        <v>3</v>
      </c>
    </row>
    <row r="7" ht="15" spans="1:12">
      <c r="A7" s="59"/>
    </row>
    <row r="8" spans="1:12">
      <c r="A8" s="56" t="s">
        <v>4</v>
      </c>
    </row>
    <row r="9" spans="1:12">
      <c r="A9" s="57"/>
      <c r="B9" s="27">
        <f>COUNT(A26:A75)</f>
        <v>50</v>
      </c>
      <c r="C9">
        <f>COUNT(A26:A75)</f>
        <v>50</v>
      </c>
    </row>
    <row r="10" spans="1:12">
      <c r="A10" s="57"/>
    </row>
    <row r="11" spans="1:12">
      <c r="A11" s="56" t="s">
        <v>5</v>
      </c>
    </row>
    <row r="12" ht="15" spans="1:12">
      <c r="A12" s="59" t="s">
        <v>6</v>
      </c>
    </row>
    <row r="15" spans="1:12">
      <c r="A15" s="56" t="s">
        <v>7</v>
      </c>
    </row>
    <row r="16" spans="1:12">
      <c r="A16" s="57"/>
      <c r="B16" s="56"/>
      <c r="C16" s="56"/>
      <c r="D16" s="56"/>
      <c r="E16" s="56"/>
      <c r="F16" s="56"/>
      <c r="G16" s="56"/>
      <c r="H16" s="56"/>
      <c r="I16" s="56"/>
      <c r="J16" s="56"/>
      <c r="K16" s="56"/>
      <c r="L16" s="56"/>
    </row>
    <row r="17" spans="1:25">
      <c r="A17" s="57"/>
      <c r="B17" s="60" t="s">
        <v>8</v>
      </c>
      <c r="C17" s="56"/>
      <c r="D17" s="56"/>
      <c r="E17" s="56"/>
      <c r="F17" s="56"/>
      <c r="G17" s="56"/>
      <c r="H17" s="56"/>
      <c r="I17" s="56"/>
      <c r="J17" s="56"/>
      <c r="K17" s="56"/>
      <c r="L17" s="56"/>
    </row>
    <row r="18" spans="1:25">
      <c r="A18" s="57"/>
      <c r="B18" s="57" t="s">
        <v>9</v>
      </c>
      <c r="C18" s="56"/>
      <c r="D18" s="56"/>
      <c r="E18" s="56"/>
      <c r="F18" s="56"/>
      <c r="G18" s="56"/>
      <c r="H18" s="56"/>
      <c r="I18" s="56"/>
      <c r="J18" s="56"/>
      <c r="K18" s="56"/>
      <c r="L18" s="56"/>
    </row>
    <row r="19" spans="1:25">
      <c r="A19" s="57"/>
      <c r="B19" s="56"/>
      <c r="C19" s="56"/>
      <c r="D19" s="56"/>
      <c r="E19" s="56"/>
      <c r="F19" s="56"/>
      <c r="G19" s="56"/>
      <c r="H19" s="56"/>
      <c r="I19" s="56"/>
      <c r="J19" s="56"/>
      <c r="K19" s="56"/>
      <c r="L19" s="56"/>
    </row>
    <row r="20" spans="1:25">
      <c r="A20" s="56" t="s">
        <v>10</v>
      </c>
      <c r="B20" s="56"/>
      <c r="C20" s="56"/>
      <c r="D20" s="56"/>
      <c r="E20" s="56"/>
      <c r="F20" s="56"/>
      <c r="G20" s="56"/>
      <c r="H20" s="56"/>
      <c r="I20" s="56"/>
      <c r="J20" s="56"/>
      <c r="K20" s="56"/>
      <c r="L20" s="56"/>
    </row>
    <row r="21" spans="1:25">
      <c r="A21" s="61" t="s">
        <v>11</v>
      </c>
      <c r="B21" s="56"/>
      <c r="C21" s="56"/>
      <c r="D21" s="56"/>
      <c r="E21" s="56"/>
      <c r="F21" s="56"/>
      <c r="G21" s="56"/>
      <c r="H21" s="56"/>
      <c r="I21" s="56"/>
      <c r="J21" s="56"/>
      <c r="K21" s="56"/>
      <c r="L21" s="56"/>
    </row>
    <row r="22" spans="1:25">
      <c r="A22" s="61" t="s">
        <v>12</v>
      </c>
      <c r="B22" s="56"/>
      <c r="C22" s="56"/>
      <c r="D22" s="56"/>
      <c r="E22" s="56"/>
      <c r="F22" s="56"/>
      <c r="G22" s="56"/>
      <c r="H22" s="56"/>
      <c r="I22" s="56"/>
      <c r="J22" s="56"/>
      <c r="K22" s="56"/>
      <c r="L22" s="56"/>
    </row>
    <row r="23" spans="1:25">
      <c r="A23" s="61" t="s">
        <v>13</v>
      </c>
      <c r="B23" s="56"/>
      <c r="C23" s="56"/>
      <c r="D23" s="56"/>
      <c r="E23" s="56"/>
      <c r="F23" s="56"/>
      <c r="G23" s="56"/>
      <c r="H23" s="56"/>
      <c r="I23" s="56"/>
      <c r="J23" s="56"/>
      <c r="K23" s="56"/>
      <c r="L23" s="56"/>
    </row>
    <row r="25" ht="15.15" spans="1:25">
      <c r="A25" s="56" t="s">
        <v>14</v>
      </c>
      <c r="B25" s="56"/>
      <c r="C25" s="56"/>
      <c r="D25" s="56"/>
      <c r="E25" s="56"/>
      <c r="F25" s="56"/>
      <c r="G25" s="56"/>
      <c r="H25" s="56"/>
      <c r="I25" s="56"/>
      <c r="J25" s="57" t="s">
        <v>15</v>
      </c>
      <c r="K25" s="56"/>
      <c r="L25" s="56"/>
    </row>
    <row r="26" ht="15.15" spans="1:25">
      <c r="A26" s="56">
        <v>6</v>
      </c>
      <c r="B26" s="56"/>
      <c r="C26" s="56"/>
      <c r="D26" s="56" t="s">
        <v>16</v>
      </c>
      <c r="E26" s="56" t="s">
        <v>17</v>
      </c>
      <c r="F26" s="28" t="s">
        <v>18</v>
      </c>
      <c r="G26" s="56"/>
      <c r="H26" s="56"/>
      <c r="I26" s="56"/>
      <c r="J26" s="56"/>
      <c r="K26" s="56"/>
      <c r="L26" s="56"/>
    </row>
    <row r="27" ht="15.15" spans="1:25">
      <c r="A27" s="56">
        <v>5</v>
      </c>
      <c r="B27" s="56"/>
      <c r="C27" s="56"/>
      <c r="D27" s="56" t="s">
        <v>19</v>
      </c>
      <c r="E27" s="56">
        <v>4.99</v>
      </c>
      <c r="F27" s="56">
        <v>12</v>
      </c>
      <c r="G27" s="56"/>
      <c r="H27" s="56"/>
      <c r="I27" s="56"/>
      <c r="J27" s="56" t="s">
        <v>16</v>
      </c>
      <c r="K27" s="28" t="s">
        <v>20</v>
      </c>
      <c r="L27" s="28" t="s">
        <v>18</v>
      </c>
      <c r="M27" s="27" t="s">
        <v>21</v>
      </c>
    </row>
    <row r="28" ht="16.2" spans="1:25">
      <c r="A28" s="56">
        <v>33</v>
      </c>
      <c r="B28" s="56"/>
      <c r="C28" s="56"/>
      <c r="D28" s="56" t="s">
        <v>22</v>
      </c>
      <c r="E28" s="56">
        <v>9.99</v>
      </c>
      <c r="F28" s="56">
        <v>16</v>
      </c>
      <c r="G28" s="56"/>
      <c r="H28" s="56"/>
      <c r="I28" s="56"/>
      <c r="J28" s="56" t="s">
        <v>19</v>
      </c>
      <c r="K28" s="62">
        <v>4.99</v>
      </c>
      <c r="L28" s="29">
        <v>12</v>
      </c>
      <c r="M28" s="27" cm="1">
        <f t="array" ref="M28:M35">FREQUENCY(A26:A75,K28:K34)</f>
        <v>12</v>
      </c>
      <c r="V28" s="28" t="s">
        <v>17</v>
      </c>
      <c r="W28" s="28" t="s">
        <v>18</v>
      </c>
      <c r="X28" s="28" t="s">
        <v>23</v>
      </c>
      <c r="Y28" s="63" t="s">
        <v>24</v>
      </c>
    </row>
    <row r="29" spans="1:25">
      <c r="A29" s="56">
        <v>6</v>
      </c>
      <c r="B29" s="56"/>
      <c r="C29" s="56"/>
      <c r="D29" s="56" t="s">
        <v>25</v>
      </c>
      <c r="E29" s="56">
        <v>14.99</v>
      </c>
      <c r="F29" s="56">
        <v>11</v>
      </c>
      <c r="G29" s="56"/>
      <c r="H29" s="56"/>
      <c r="I29" s="56"/>
      <c r="J29" s="56" t="s">
        <v>22</v>
      </c>
      <c r="K29" s="62">
        <v>9.99</v>
      </c>
      <c r="L29" s="29">
        <v>16</v>
      </c>
      <c r="M29" s="27">
        <v>16</v>
      </c>
      <c r="V29" s="64">
        <v>0</v>
      </c>
      <c r="W29" s="64">
        <v>0</v>
      </c>
      <c r="X29" s="64">
        <v>0</v>
      </c>
    </row>
    <row r="30" spans="1:25">
      <c r="A30" s="56">
        <v>17</v>
      </c>
      <c r="B30" s="56"/>
      <c r="C30" s="56"/>
      <c r="D30" s="56" t="s">
        <v>26</v>
      </c>
      <c r="E30" s="56">
        <v>19.99</v>
      </c>
      <c r="F30" s="56">
        <v>7</v>
      </c>
      <c r="G30" s="56"/>
      <c r="H30" s="56"/>
      <c r="I30" s="56"/>
      <c r="J30" s="56" t="s">
        <v>25</v>
      </c>
      <c r="K30" s="62">
        <v>14.99</v>
      </c>
      <c r="L30" s="29">
        <v>11</v>
      </c>
      <c r="M30" s="27">
        <v>11</v>
      </c>
      <c r="V30" s="62">
        <v>5</v>
      </c>
      <c r="W30" s="29">
        <v>12</v>
      </c>
      <c r="X30" s="65">
        <v>0.24</v>
      </c>
    </row>
    <row r="31" spans="1:25">
      <c r="A31" s="56">
        <v>6</v>
      </c>
      <c r="B31" s="56"/>
      <c r="C31" s="56"/>
      <c r="D31" s="56" t="s">
        <v>27</v>
      </c>
      <c r="E31" s="56">
        <v>24.99</v>
      </c>
      <c r="F31" s="56">
        <v>2</v>
      </c>
      <c r="G31" s="56"/>
      <c r="H31" s="56"/>
      <c r="I31" s="56"/>
      <c r="J31" s="56" t="s">
        <v>26</v>
      </c>
      <c r="K31" s="62">
        <v>19.99</v>
      </c>
      <c r="L31" s="29">
        <v>7</v>
      </c>
      <c r="M31" s="27">
        <v>7</v>
      </c>
      <c r="V31" s="62">
        <v>10</v>
      </c>
      <c r="W31" s="29">
        <v>16</v>
      </c>
      <c r="X31" s="65">
        <v>0.56</v>
      </c>
    </row>
    <row r="32" spans="1:25">
      <c r="A32" s="56">
        <v>18</v>
      </c>
      <c r="B32" s="56"/>
      <c r="C32" s="56"/>
      <c r="D32" s="56" t="s">
        <v>28</v>
      </c>
      <c r="E32" s="56">
        <v>29.99</v>
      </c>
      <c r="F32" s="56">
        <v>1</v>
      </c>
      <c r="G32" s="56"/>
      <c r="H32" s="56"/>
      <c r="I32" s="56"/>
      <c r="J32" s="56" t="s">
        <v>27</v>
      </c>
      <c r="K32" s="62">
        <v>24.99</v>
      </c>
      <c r="L32" s="29">
        <v>2</v>
      </c>
      <c r="M32" s="27">
        <v>2</v>
      </c>
      <c r="V32" s="62">
        <v>15</v>
      </c>
      <c r="W32" s="29">
        <v>11</v>
      </c>
      <c r="X32" s="65">
        <v>0.78</v>
      </c>
    </row>
    <row r="33" spans="1:24">
      <c r="A33" s="56">
        <v>6</v>
      </c>
      <c r="B33" s="56"/>
      <c r="C33" s="56"/>
      <c r="D33" s="56" t="s">
        <v>29</v>
      </c>
      <c r="E33" s="56">
        <v>34.99</v>
      </c>
      <c r="F33" s="56">
        <v>1</v>
      </c>
      <c r="G33" s="56"/>
      <c r="H33" s="56"/>
      <c r="I33" s="56"/>
      <c r="J33" s="56" t="s">
        <v>28</v>
      </c>
      <c r="K33" s="62">
        <v>29.99</v>
      </c>
      <c r="L33" s="29">
        <v>1</v>
      </c>
      <c r="M33" s="27">
        <v>1</v>
      </c>
      <c r="V33" s="62">
        <v>20</v>
      </c>
      <c r="W33" s="29">
        <v>7</v>
      </c>
      <c r="X33" s="65">
        <v>0.92</v>
      </c>
    </row>
    <row r="34" spans="1:24">
      <c r="A34" s="56">
        <v>27</v>
      </c>
      <c r="B34" s="56"/>
      <c r="C34" s="56"/>
      <c r="D34" s="56"/>
      <c r="E34" s="56"/>
      <c r="F34" s="56"/>
      <c r="G34" s="56"/>
      <c r="H34" s="56"/>
      <c r="I34" s="56"/>
      <c r="J34" s="56" t="s">
        <v>29</v>
      </c>
      <c r="K34" s="62">
        <v>34.99</v>
      </c>
      <c r="L34" s="29">
        <v>1</v>
      </c>
      <c r="M34" s="27">
        <v>1</v>
      </c>
      <c r="V34" s="62">
        <v>25</v>
      </c>
      <c r="W34" s="29">
        <v>2</v>
      </c>
      <c r="X34" s="65">
        <v>0.96</v>
      </c>
    </row>
    <row r="35" ht="15.15" spans="1:24">
      <c r="A35" s="56">
        <v>1</v>
      </c>
      <c r="B35" s="56"/>
      <c r="C35" s="56"/>
      <c r="D35" s="56"/>
      <c r="E35" s="56"/>
      <c r="F35" s="56"/>
      <c r="G35" s="56"/>
      <c r="H35" s="56"/>
      <c r="I35" s="56"/>
      <c r="J35" s="56"/>
      <c r="K35" s="66"/>
      <c r="L35" s="66"/>
      <c r="M35" s="27">
        <v>0</v>
      </c>
      <c r="V35" s="62">
        <v>30</v>
      </c>
      <c r="W35" s="29">
        <v>1</v>
      </c>
      <c r="X35" s="65">
        <v>0.98</v>
      </c>
    </row>
    <row r="36" spans="1:24">
      <c r="A36" s="56">
        <v>14</v>
      </c>
      <c r="B36" s="56"/>
      <c r="C36" s="56"/>
      <c r="D36" s="56"/>
      <c r="E36" s="56"/>
      <c r="F36" s="56"/>
      <c r="G36" s="56"/>
      <c r="H36" s="56"/>
      <c r="I36" s="56"/>
      <c r="J36" s="56"/>
      <c r="K36" s="56"/>
      <c r="L36" s="67"/>
      <c r="V36" s="62">
        <v>35</v>
      </c>
      <c r="W36" s="29">
        <v>1</v>
      </c>
      <c r="X36" s="65">
        <v>1</v>
      </c>
    </row>
    <row r="37" spans="1:24">
      <c r="A37" s="56">
        <v>7</v>
      </c>
      <c r="B37" s="56"/>
      <c r="C37" s="56"/>
      <c r="D37" s="56"/>
      <c r="E37" s="56"/>
      <c r="F37" s="56"/>
      <c r="G37" s="56"/>
      <c r="H37" s="56"/>
      <c r="I37" s="56"/>
      <c r="J37" s="56"/>
      <c r="K37" s="56"/>
      <c r="L37" s="67"/>
    </row>
    <row r="38" spans="1:24">
      <c r="A38" s="56">
        <v>11</v>
      </c>
      <c r="B38" s="56"/>
      <c r="C38" s="56"/>
      <c r="D38" s="56"/>
      <c r="E38" s="56"/>
      <c r="F38" s="56"/>
      <c r="G38" s="56"/>
      <c r="H38" s="56"/>
      <c r="I38" s="56"/>
      <c r="J38" s="56"/>
      <c r="K38" s="56"/>
      <c r="L38" s="67"/>
    </row>
    <row r="39" spans="1:24">
      <c r="A39" s="56">
        <v>8</v>
      </c>
      <c r="B39" s="56"/>
      <c r="C39" s="56"/>
      <c r="D39" s="56"/>
      <c r="E39" s="56"/>
      <c r="F39" s="56"/>
      <c r="G39" s="56"/>
      <c r="H39" s="56"/>
      <c r="I39" s="56"/>
      <c r="J39" s="56"/>
      <c r="K39" s="56"/>
      <c r="L39" s="67"/>
    </row>
    <row r="40" spans="1:24">
      <c r="A40" s="56">
        <v>22</v>
      </c>
      <c r="B40" s="56"/>
      <c r="C40" s="56"/>
      <c r="D40" s="56"/>
      <c r="E40" s="56"/>
      <c r="F40" s="56"/>
      <c r="G40" s="56"/>
      <c r="H40" s="56"/>
      <c r="I40" s="56"/>
      <c r="J40" s="56"/>
      <c r="K40" s="56"/>
      <c r="L40" s="67"/>
    </row>
    <row r="41" spans="1:24">
      <c r="A41" s="56">
        <v>1</v>
      </c>
      <c r="B41" s="56"/>
      <c r="C41" s="56"/>
      <c r="D41" s="56"/>
      <c r="E41" s="56"/>
      <c r="F41" s="56"/>
      <c r="G41" s="56"/>
      <c r="H41" s="56"/>
      <c r="I41" s="56"/>
      <c r="J41" s="57" t="s">
        <v>30</v>
      </c>
      <c r="K41" s="56"/>
      <c r="L41" s="67"/>
    </row>
    <row r="42" spans="1:24">
      <c r="A42" s="56">
        <v>7</v>
      </c>
      <c r="B42" s="56"/>
      <c r="C42" s="56"/>
      <c r="D42" s="56"/>
      <c r="E42" s="56"/>
      <c r="F42" s="56"/>
      <c r="G42" s="56"/>
      <c r="H42" s="56"/>
      <c r="I42" s="56"/>
      <c r="J42" s="56"/>
      <c r="K42" s="56"/>
      <c r="L42" s="67"/>
    </row>
    <row r="43" spans="1:24">
      <c r="A43" s="56">
        <v>4</v>
      </c>
      <c r="B43" s="56"/>
      <c r="C43" s="56"/>
      <c r="D43" s="56"/>
      <c r="E43" s="56"/>
      <c r="F43" s="56"/>
      <c r="G43" s="56"/>
      <c r="H43" s="56"/>
      <c r="I43" s="56"/>
      <c r="J43" s="56"/>
      <c r="K43" s="56"/>
      <c r="L43" s="56"/>
    </row>
    <row r="44" ht="15.15" spans="1:24">
      <c r="A44" s="56">
        <v>15</v>
      </c>
      <c r="B44" s="56"/>
      <c r="C44" s="56"/>
      <c r="D44" s="56"/>
      <c r="E44" s="56"/>
      <c r="F44" s="56"/>
      <c r="G44" s="56"/>
      <c r="H44" s="56"/>
      <c r="I44" s="56"/>
      <c r="J44" s="56"/>
      <c r="K44" s="56"/>
      <c r="L44" s="56"/>
    </row>
    <row r="45" spans="1:24">
      <c r="A45" s="56">
        <v>19</v>
      </c>
      <c r="B45" s="56"/>
      <c r="C45" s="56"/>
      <c r="D45" s="56"/>
      <c r="E45" s="56"/>
      <c r="F45" s="56"/>
      <c r="G45" s="56"/>
      <c r="H45" s="56"/>
      <c r="I45" s="56"/>
      <c r="J45" s="56"/>
      <c r="K45" s="28" t="s">
        <v>17</v>
      </c>
      <c r="L45" s="28" t="s">
        <v>18</v>
      </c>
    </row>
    <row r="46" spans="1:24">
      <c r="A46" s="56">
        <v>20</v>
      </c>
      <c r="B46" s="56"/>
      <c r="C46" s="56"/>
      <c r="D46" s="56"/>
      <c r="E46" s="56"/>
      <c r="F46" s="56"/>
      <c r="G46" s="56"/>
      <c r="H46" s="56"/>
      <c r="I46" s="56"/>
      <c r="J46" s="56"/>
      <c r="K46" s="64">
        <v>0</v>
      </c>
      <c r="L46" s="64">
        <v>0</v>
      </c>
    </row>
    <row r="47" spans="1:24">
      <c r="A47" s="56">
        <v>17</v>
      </c>
      <c r="B47" s="56"/>
      <c r="C47" s="56"/>
      <c r="D47" s="56"/>
      <c r="E47" s="56"/>
      <c r="F47" s="56"/>
      <c r="G47" s="56"/>
      <c r="H47" s="56"/>
      <c r="I47" s="56"/>
      <c r="J47" s="56"/>
      <c r="K47" s="62">
        <v>2.5</v>
      </c>
      <c r="L47" s="29">
        <v>12</v>
      </c>
    </row>
    <row r="48" spans="1:24">
      <c r="A48" s="56">
        <v>14</v>
      </c>
      <c r="B48" s="56"/>
      <c r="C48" s="56"/>
      <c r="D48" s="56"/>
      <c r="E48" s="56"/>
      <c r="F48" s="56"/>
      <c r="G48" s="56"/>
      <c r="H48" s="56"/>
      <c r="I48" s="56"/>
      <c r="J48" s="56"/>
      <c r="K48" s="62">
        <f>K47+5</f>
        <v>7.5</v>
      </c>
      <c r="L48" s="29">
        <v>16</v>
      </c>
    </row>
    <row r="49" spans="1:14">
      <c r="A49" s="56">
        <v>12</v>
      </c>
      <c r="D49" s="56"/>
      <c r="K49" s="62">
        <f t="shared" ref="K49:K54" si="0">K48+5</f>
        <v>12.5</v>
      </c>
      <c r="L49" s="29">
        <v>11</v>
      </c>
    </row>
    <row r="50" spans="1:14">
      <c r="A50" s="56">
        <v>7</v>
      </c>
      <c r="D50" s="56"/>
      <c r="E50" s="29"/>
      <c r="K50" s="62">
        <f t="shared" si="0"/>
        <v>17.5</v>
      </c>
      <c r="L50" s="29">
        <v>7</v>
      </c>
    </row>
    <row r="51" spans="1:14">
      <c r="A51" s="56">
        <v>6</v>
      </c>
      <c r="D51" s="56"/>
      <c r="E51" s="29"/>
      <c r="K51" s="62">
        <f t="shared" si="0"/>
        <v>22.5</v>
      </c>
      <c r="L51" s="29">
        <v>2</v>
      </c>
    </row>
    <row r="52" spans="1:14">
      <c r="A52" s="56">
        <v>4</v>
      </c>
      <c r="D52" s="56"/>
      <c r="E52" s="29"/>
      <c r="K52" s="62">
        <f t="shared" si="0"/>
        <v>27.5</v>
      </c>
      <c r="L52" s="29">
        <v>1</v>
      </c>
    </row>
    <row r="53" spans="1:14">
      <c r="A53" s="56">
        <v>3</v>
      </c>
      <c r="D53" s="56"/>
      <c r="E53" s="29"/>
      <c r="K53" s="62">
        <f t="shared" si="0"/>
        <v>32.5</v>
      </c>
      <c r="L53" s="29">
        <v>1</v>
      </c>
    </row>
    <row r="54" ht="15.15" spans="1:14">
      <c r="A54" s="56">
        <v>8</v>
      </c>
      <c r="D54" s="56"/>
      <c r="E54" s="29"/>
      <c r="K54" s="62">
        <f t="shared" si="0"/>
        <v>37.5</v>
      </c>
      <c r="L54" s="30">
        <v>0</v>
      </c>
    </row>
    <row r="55" spans="1:14">
      <c r="A55" s="56">
        <v>14</v>
      </c>
      <c r="D55" s="56"/>
      <c r="E55" s="29"/>
    </row>
    <row r="56" spans="1:14">
      <c r="A56" s="56">
        <v>1</v>
      </c>
      <c r="D56" s="56"/>
      <c r="E56" s="29"/>
    </row>
    <row r="57" spans="1:14">
      <c r="A57" s="56">
        <v>9</v>
      </c>
    </row>
    <row r="58" spans="1:14">
      <c r="A58" s="56">
        <v>2</v>
      </c>
    </row>
    <row r="59" spans="1:14">
      <c r="A59" s="56">
        <v>17</v>
      </c>
    </row>
    <row r="60" ht="15.15" spans="1:14">
      <c r="A60" s="56">
        <v>14</v>
      </c>
    </row>
    <row r="61" ht="16.2" spans="1:14">
      <c r="A61" s="56">
        <v>3</v>
      </c>
      <c r="K61" s="28" t="s">
        <v>17</v>
      </c>
      <c r="L61" s="28" t="s">
        <v>18</v>
      </c>
      <c r="M61" s="28" t="s">
        <v>23</v>
      </c>
      <c r="N61" s="63" t="s">
        <v>24</v>
      </c>
    </row>
    <row r="62" spans="1:14">
      <c r="A62" s="56">
        <v>2</v>
      </c>
      <c r="K62" s="64">
        <v>0</v>
      </c>
      <c r="L62" s="64">
        <v>0</v>
      </c>
      <c r="M62" s="64">
        <v>0</v>
      </c>
    </row>
    <row r="63" spans="1:14">
      <c r="A63" s="56">
        <v>9</v>
      </c>
      <c r="K63" s="62">
        <v>5</v>
      </c>
      <c r="L63" s="29">
        <v>12</v>
      </c>
      <c r="M63" s="65">
        <v>0.24</v>
      </c>
    </row>
    <row r="64" spans="1:14">
      <c r="A64" s="56">
        <v>19</v>
      </c>
      <c r="K64" s="62">
        <f>K63+5</f>
        <v>10</v>
      </c>
      <c r="L64" s="29">
        <v>16</v>
      </c>
      <c r="M64" s="65">
        <v>0.56</v>
      </c>
    </row>
    <row r="65" spans="1:13">
      <c r="A65" s="56">
        <v>2</v>
      </c>
      <c r="K65" s="62">
        <f t="shared" ref="K65:K69" si="1">K64+5</f>
        <v>15</v>
      </c>
      <c r="L65" s="29">
        <v>11</v>
      </c>
      <c r="M65" s="65">
        <v>0.78</v>
      </c>
    </row>
    <row r="66" spans="1:13">
      <c r="A66" s="56">
        <v>10</v>
      </c>
      <c r="K66" s="62">
        <f t="shared" si="1"/>
        <v>20</v>
      </c>
      <c r="L66" s="29">
        <v>7</v>
      </c>
      <c r="M66" s="65">
        <v>0.92</v>
      </c>
    </row>
    <row r="67" spans="1:13">
      <c r="A67" s="56">
        <v>3</v>
      </c>
      <c r="K67" s="62">
        <f t="shared" si="1"/>
        <v>25</v>
      </c>
      <c r="L67" s="29">
        <v>2</v>
      </c>
      <c r="M67" s="65">
        <v>0.96</v>
      </c>
    </row>
    <row r="68" spans="1:13">
      <c r="A68" s="56">
        <v>11</v>
      </c>
      <c r="K68" s="62">
        <f t="shared" si="1"/>
        <v>30</v>
      </c>
      <c r="L68" s="29">
        <v>1</v>
      </c>
      <c r="M68" s="65">
        <v>0.98</v>
      </c>
    </row>
    <row r="69" spans="1:13">
      <c r="A69" s="56">
        <v>14</v>
      </c>
      <c r="K69" s="62">
        <f t="shared" si="1"/>
        <v>35</v>
      </c>
      <c r="L69" s="29">
        <v>1</v>
      </c>
      <c r="M69" s="65">
        <v>1</v>
      </c>
    </row>
    <row r="70" spans="1:13">
      <c r="A70" s="56">
        <v>6</v>
      </c>
    </row>
    <row r="71" spans="1:13">
      <c r="A71" s="56">
        <v>7</v>
      </c>
    </row>
    <row r="72" spans="1:13">
      <c r="A72" s="56">
        <v>12</v>
      </c>
    </row>
    <row r="73" spans="1:13">
      <c r="A73" s="56">
        <v>7</v>
      </c>
    </row>
    <row r="74" spans="1:13">
      <c r="A74" s="56">
        <v>3</v>
      </c>
    </row>
    <row r="75" spans="1:13">
      <c r="A75" s="56">
        <v>11</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
  <sheetViews>
    <sheetView workbookViewId="0">
      <selection activeCell="L36" sqref="L36"/>
    </sheetView>
  </sheetViews>
  <sheetFormatPr defaultColWidth="9" defaultRowHeight="14.4"/>
  <cols>
    <col min="1" max="1" width="26.4444444444444" customWidth="1"/>
    <col min="6" max="6" width="62.1111111111111" customWidth="1"/>
    <col min="8" max="8" width="12.8888888888889" style="27"/>
  </cols>
  <sheetData>
    <row r="1" spans="1:13">
      <c r="A1" t="s">
        <v>31</v>
      </c>
    </row>
    <row r="2" spans="1:13">
      <c r="A2" t="s">
        <v>32</v>
      </c>
    </row>
    <row r="3" ht="19.2" spans="1:13">
      <c r="A3" s="38" t="s">
        <v>33</v>
      </c>
    </row>
    <row r="4" spans="1:13">
      <c r="A4" t="s">
        <v>34</v>
      </c>
    </row>
    <row r="5" ht="19.2" spans="1:13">
      <c r="A5" s="38" t="s">
        <v>35</v>
      </c>
    </row>
    <row r="6" spans="1:13">
      <c r="A6" t="s">
        <v>36</v>
      </c>
    </row>
    <row r="7" ht="19.2" spans="1:13">
      <c r="A7" s="38" t="s">
        <v>37</v>
      </c>
    </row>
    <row r="8" spans="1:13">
      <c r="A8" t="s">
        <v>38</v>
      </c>
    </row>
    <row r="9" ht="19.2" spans="1:13">
      <c r="A9" s="38" t="s">
        <v>39</v>
      </c>
    </row>
    <row r="10" spans="1:13">
      <c r="A10" t="s">
        <v>40</v>
      </c>
    </row>
    <row r="11" ht="19.2" spans="1:13">
      <c r="A11" s="38" t="s">
        <v>41</v>
      </c>
    </row>
    <row r="12" spans="1:13">
      <c r="A12" t="s">
        <v>42</v>
      </c>
    </row>
    <row r="13" ht="19.2" spans="1:13">
      <c r="A13" s="38" t="s">
        <v>43</v>
      </c>
    </row>
    <row r="14" spans="1:13">
      <c r="A14" t="s">
        <v>44</v>
      </c>
    </row>
    <row r="15" ht="19.2" spans="1:13">
      <c r="A15" s="38" t="s">
        <v>45</v>
      </c>
    </row>
    <row r="16" ht="15.6" spans="1:13">
      <c r="A16" t="s">
        <v>46</v>
      </c>
      <c r="H16" s="39"/>
      <c r="I16" s="40"/>
      <c r="J16" s="40"/>
      <c r="K16" s="40"/>
      <c r="L16" s="40"/>
      <c r="M16" s="40"/>
    </row>
    <row r="17" ht="19.2" spans="1:13">
      <c r="A17" s="38" t="s">
        <v>47</v>
      </c>
      <c r="H17" s="39"/>
      <c r="I17" s="40"/>
      <c r="J17" s="40"/>
      <c r="K17" s="40"/>
      <c r="L17" s="40"/>
      <c r="M17" s="40"/>
    </row>
    <row r="18" ht="15.6" spans="1:13">
      <c r="A18" t="s">
        <v>48</v>
      </c>
      <c r="H18" s="39"/>
      <c r="I18" s="40"/>
      <c r="J18" s="40"/>
      <c r="K18" s="40"/>
      <c r="L18" s="40"/>
      <c r="M18" s="40"/>
    </row>
    <row r="19" ht="19.2" spans="1:13">
      <c r="A19" s="38" t="s">
        <v>49</v>
      </c>
    </row>
    <row r="20" spans="1:13">
      <c r="A20" s="41"/>
    </row>
    <row r="21" spans="1:13">
      <c r="A21" s="41"/>
      <c r="B21" s="41"/>
      <c r="C21" s="41"/>
      <c r="D21" s="41"/>
      <c r="E21" s="41"/>
      <c r="F21" s="41"/>
      <c r="G21" s="41"/>
      <c r="H21" s="42"/>
      <c r="I21" s="41"/>
      <c r="J21" s="41"/>
      <c r="K21" s="41"/>
      <c r="L21" s="41"/>
      <c r="M21" s="41"/>
    </row>
    <row r="23" spans="1:13">
      <c r="A23" t="s">
        <v>50</v>
      </c>
      <c r="B23" t="s">
        <v>51</v>
      </c>
      <c r="C23" t="s">
        <v>52</v>
      </c>
      <c r="E23" s="43"/>
      <c r="F23" s="43"/>
      <c r="G23" s="43"/>
      <c r="H23" s="44"/>
      <c r="I23" s="45"/>
      <c r="J23" s="45"/>
      <c r="K23" s="46"/>
    </row>
    <row r="24" spans="1:13">
      <c r="A24" t="s">
        <v>53</v>
      </c>
      <c r="B24">
        <v>30.2</v>
      </c>
      <c r="C24">
        <v>1</v>
      </c>
      <c r="E24" s="43"/>
      <c r="F24" s="43"/>
      <c r="G24" s="43"/>
      <c r="H24" s="44"/>
      <c r="I24" s="47"/>
      <c r="J24" s="48"/>
      <c r="K24" s="46"/>
    </row>
    <row r="25" spans="1:13">
      <c r="A25" t="s">
        <v>54</v>
      </c>
      <c r="B25">
        <v>28.4</v>
      </c>
      <c r="C25">
        <v>3</v>
      </c>
      <c r="E25" s="43"/>
      <c r="F25" s="43"/>
      <c r="G25" s="43"/>
      <c r="H25" s="44"/>
      <c r="I25" s="47"/>
      <c r="J25" s="48"/>
      <c r="K25" s="46"/>
    </row>
    <row r="26" spans="1:13">
      <c r="A26" t="s">
        <v>55</v>
      </c>
      <c r="B26">
        <v>26.8</v>
      </c>
      <c r="C26">
        <v>1</v>
      </c>
      <c r="E26" s="43"/>
      <c r="F26" s="43"/>
      <c r="G26" s="43"/>
      <c r="H26" s="44"/>
      <c r="I26" s="47"/>
      <c r="J26" s="48"/>
      <c r="K26" s="46"/>
    </row>
    <row r="27" spans="1:13">
      <c r="A27" t="s">
        <v>56</v>
      </c>
      <c r="B27">
        <v>25.9</v>
      </c>
      <c r="C27">
        <v>3</v>
      </c>
      <c r="E27" s="43"/>
      <c r="F27" s="43"/>
      <c r="G27" s="43"/>
      <c r="H27" s="44"/>
      <c r="I27" s="47"/>
      <c r="J27" s="48"/>
      <c r="K27" s="46"/>
    </row>
    <row r="28" spans="1:13">
      <c r="A28" t="s">
        <v>57</v>
      </c>
      <c r="B28">
        <v>25.8</v>
      </c>
      <c r="C28">
        <v>2</v>
      </c>
      <c r="E28" s="43"/>
      <c r="F28" s="43"/>
      <c r="G28" s="43"/>
      <c r="H28" s="44"/>
      <c r="I28" s="47"/>
      <c r="J28" s="48"/>
      <c r="K28" s="46"/>
    </row>
    <row r="29" spans="1:13">
      <c r="A29" t="s">
        <v>58</v>
      </c>
      <c r="B29">
        <v>25.3</v>
      </c>
      <c r="C29">
        <v>3</v>
      </c>
      <c r="E29" s="43"/>
      <c r="F29" s="43"/>
      <c r="G29" s="43"/>
      <c r="H29" s="44"/>
      <c r="I29" s="43"/>
      <c r="J29" s="43"/>
      <c r="K29" s="46"/>
    </row>
    <row r="30" spans="1:13">
      <c r="A30" t="s">
        <v>59</v>
      </c>
      <c r="B30">
        <v>24.6</v>
      </c>
      <c r="C30">
        <v>3</v>
      </c>
      <c r="E30" s="43"/>
      <c r="F30" s="49"/>
      <c r="G30" s="43"/>
      <c r="H30" s="44"/>
      <c r="I30" s="43"/>
      <c r="J30" s="43"/>
      <c r="K30" s="46"/>
    </row>
    <row r="31" spans="1:13">
      <c r="A31" t="s">
        <v>60</v>
      </c>
      <c r="B31">
        <v>23.1</v>
      </c>
      <c r="C31">
        <v>1</v>
      </c>
      <c r="E31" s="43"/>
      <c r="F31" s="43"/>
      <c r="G31" s="43"/>
      <c r="H31" s="44"/>
      <c r="I31" s="43"/>
      <c r="J31" s="43"/>
      <c r="K31" s="46"/>
    </row>
    <row r="32" spans="1:13">
      <c r="A32" t="s">
        <v>61</v>
      </c>
      <c r="B32">
        <v>22.8</v>
      </c>
      <c r="C32">
        <v>1</v>
      </c>
      <c r="E32" s="43"/>
      <c r="F32" s="50"/>
      <c r="G32" s="50"/>
      <c r="H32" s="51"/>
      <c r="I32" s="50"/>
      <c r="J32" s="50"/>
      <c r="K32" s="46"/>
    </row>
    <row r="33" spans="1:11">
      <c r="A33" t="s">
        <v>62</v>
      </c>
      <c r="B33">
        <v>22.8</v>
      </c>
      <c r="C33">
        <v>1</v>
      </c>
      <c r="E33" s="43"/>
      <c r="F33" s="50"/>
      <c r="G33" s="50"/>
      <c r="H33" s="51"/>
      <c r="I33" s="50"/>
      <c r="J33" s="50"/>
      <c r="K33" s="46"/>
    </row>
    <row r="34" spans="1:11">
      <c r="A34" t="s">
        <v>63</v>
      </c>
      <c r="B34">
        <v>22.7</v>
      </c>
      <c r="C34">
        <v>2</v>
      </c>
      <c r="E34" s="43"/>
      <c r="F34" s="43"/>
      <c r="G34" s="43"/>
      <c r="H34" s="44"/>
      <c r="I34" s="43"/>
      <c r="J34" s="43"/>
      <c r="K34" s="46"/>
    </row>
    <row r="35" spans="1:11">
      <c r="A35" t="s">
        <v>64</v>
      </c>
      <c r="B35">
        <v>22.6</v>
      </c>
      <c r="C35">
        <v>1</v>
      </c>
      <c r="E35" s="43"/>
      <c r="F35" s="43"/>
      <c r="G35" s="43"/>
      <c r="H35" s="44"/>
      <c r="I35" s="43"/>
      <c r="J35" s="43"/>
      <c r="K35" s="46"/>
    </row>
    <row r="36" spans="1:11">
      <c r="A36" t="s">
        <v>65</v>
      </c>
      <c r="B36">
        <v>22.2</v>
      </c>
      <c r="C36">
        <v>1</v>
      </c>
      <c r="E36" s="43"/>
      <c r="F36" s="43"/>
      <c r="G36" s="43"/>
      <c r="H36" s="44"/>
      <c r="I36" s="43"/>
      <c r="J36" s="43"/>
      <c r="K36" s="46"/>
    </row>
    <row r="37" spans="1:11">
      <c r="A37" t="s">
        <v>66</v>
      </c>
      <c r="B37">
        <v>22</v>
      </c>
      <c r="C37">
        <v>1</v>
      </c>
      <c r="E37" s="43"/>
      <c r="F37" s="43"/>
      <c r="G37" s="43"/>
      <c r="H37" s="44"/>
      <c r="I37" s="43"/>
      <c r="J37" s="43"/>
      <c r="K37" s="46"/>
    </row>
    <row r="38" spans="1:11">
      <c r="A38" t="s">
        <v>67</v>
      </c>
      <c r="B38">
        <v>21.4</v>
      </c>
      <c r="C38">
        <v>2</v>
      </c>
      <c r="E38" s="43"/>
      <c r="F38" s="43"/>
      <c r="G38" s="43"/>
      <c r="H38" s="44"/>
      <c r="I38" s="43"/>
      <c r="J38" s="43"/>
      <c r="K38" s="46"/>
    </row>
    <row r="39" spans="1:11">
      <c r="A39" t="s">
        <v>68</v>
      </c>
      <c r="B39">
        <v>21.4</v>
      </c>
      <c r="C39">
        <v>1</v>
      </c>
      <c r="E39" s="43"/>
      <c r="F39" s="43"/>
      <c r="G39" s="43"/>
      <c r="H39" s="44"/>
      <c r="I39" s="43"/>
      <c r="J39" s="43"/>
      <c r="K39" s="46"/>
    </row>
    <row r="40" spans="1:11">
      <c r="A40" t="s">
        <v>69</v>
      </c>
      <c r="B40">
        <v>21.3</v>
      </c>
      <c r="C40">
        <v>1</v>
      </c>
      <c r="E40" s="43"/>
      <c r="F40" s="43"/>
      <c r="G40" s="43"/>
      <c r="H40" s="44"/>
      <c r="I40" s="43"/>
      <c r="J40" s="43"/>
      <c r="K40" s="46"/>
    </row>
    <row r="41" spans="1:11">
      <c r="A41" t="s">
        <v>70</v>
      </c>
      <c r="B41">
        <v>21.2</v>
      </c>
      <c r="C41">
        <v>1</v>
      </c>
      <c r="E41" s="43"/>
      <c r="F41" s="43"/>
      <c r="G41" s="43"/>
      <c r="H41" s="44"/>
      <c r="I41" s="43"/>
      <c r="J41" s="43"/>
      <c r="K41" s="46"/>
    </row>
    <row r="42" spans="1:11">
      <c r="A42" t="s">
        <v>71</v>
      </c>
      <c r="B42">
        <v>21</v>
      </c>
      <c r="C42">
        <v>3</v>
      </c>
      <c r="E42" s="43"/>
      <c r="F42" s="43"/>
      <c r="G42" s="43"/>
      <c r="H42" s="44"/>
      <c r="I42" s="43"/>
      <c r="J42" s="43"/>
      <c r="K42" s="46"/>
    </row>
    <row r="43" spans="1:11">
      <c r="A43" t="s">
        <v>72</v>
      </c>
      <c r="B43">
        <v>20.8</v>
      </c>
      <c r="C43">
        <v>2</v>
      </c>
      <c r="E43" s="43"/>
      <c r="F43" s="43"/>
      <c r="G43" s="43"/>
      <c r="H43" s="44"/>
      <c r="I43" s="43"/>
      <c r="J43" s="43"/>
      <c r="K43" s="46"/>
    </row>
    <row r="44" spans="1:11">
      <c r="A44" t="s">
        <v>73</v>
      </c>
      <c r="B44">
        <v>20.8</v>
      </c>
      <c r="C44">
        <v>1</v>
      </c>
      <c r="E44" s="43"/>
      <c r="F44" s="43"/>
      <c r="G44" s="43"/>
      <c r="H44" s="44"/>
      <c r="I44" s="43"/>
      <c r="J44" s="43"/>
      <c r="K44" s="46"/>
    </row>
    <row r="45" spans="1:11">
      <c r="A45" t="s">
        <v>74</v>
      </c>
      <c r="B45">
        <v>20.8</v>
      </c>
      <c r="C45">
        <v>1</v>
      </c>
      <c r="E45" s="43"/>
      <c r="F45" s="43"/>
      <c r="G45" s="43"/>
      <c r="H45" s="44"/>
      <c r="I45" s="43"/>
      <c r="J45" s="43"/>
      <c r="K45" s="46"/>
    </row>
    <row r="46" spans="1:11">
      <c r="A46" t="s">
        <v>75</v>
      </c>
      <c r="B46">
        <v>20.7</v>
      </c>
      <c r="C46">
        <v>3</v>
      </c>
      <c r="E46" s="43"/>
      <c r="F46" s="43"/>
      <c r="G46" s="43"/>
      <c r="H46" s="44"/>
      <c r="I46" s="43"/>
      <c r="J46" s="43"/>
      <c r="K46" s="46"/>
    </row>
    <row r="47" spans="1:11">
      <c r="A47" t="s">
        <v>76</v>
      </c>
      <c r="B47">
        <v>20.7</v>
      </c>
      <c r="C47">
        <v>1</v>
      </c>
      <c r="E47" s="43"/>
      <c r="F47" s="43"/>
      <c r="G47" s="43"/>
      <c r="H47" s="44"/>
      <c r="I47" s="43"/>
      <c r="J47" s="43"/>
      <c r="K47" s="46"/>
    </row>
    <row r="48" spans="1:11">
      <c r="A48" t="s">
        <v>77</v>
      </c>
      <c r="B48">
        <v>20.6</v>
      </c>
      <c r="C48">
        <v>2</v>
      </c>
      <c r="E48" s="43"/>
      <c r="F48" s="43"/>
      <c r="G48" s="43"/>
      <c r="H48" s="44"/>
      <c r="I48" s="43"/>
      <c r="J48" s="43"/>
      <c r="K48" s="46"/>
    </row>
    <row r="49" spans="1:11">
      <c r="A49" t="s">
        <v>78</v>
      </c>
      <c r="B49">
        <v>20.5</v>
      </c>
      <c r="C49">
        <v>1</v>
      </c>
      <c r="E49" s="43"/>
      <c r="F49" s="52"/>
      <c r="G49" s="52"/>
      <c r="H49" s="44"/>
      <c r="I49" s="43"/>
      <c r="J49" s="43"/>
      <c r="K49" s="46"/>
    </row>
    <row r="50" spans="1:11">
      <c r="A50" t="s">
        <v>79</v>
      </c>
      <c r="B50">
        <v>20.1</v>
      </c>
      <c r="C50">
        <v>1</v>
      </c>
      <c r="E50" s="43"/>
      <c r="F50" s="48"/>
      <c r="G50" s="48"/>
      <c r="H50" s="44"/>
      <c r="I50" s="43"/>
      <c r="J50" s="43"/>
      <c r="K50" s="46"/>
    </row>
    <row r="51" spans="1:11">
      <c r="A51" t="s">
        <v>80</v>
      </c>
      <c r="B51">
        <v>19.7</v>
      </c>
      <c r="C51">
        <v>1</v>
      </c>
      <c r="E51" s="43"/>
      <c r="F51" s="48"/>
      <c r="G51" s="48"/>
      <c r="H51" s="44"/>
      <c r="I51" s="43"/>
      <c r="J51" s="43"/>
      <c r="K51" s="46"/>
    </row>
    <row r="52" spans="1:11">
      <c r="A52" t="s">
        <v>81</v>
      </c>
      <c r="B52">
        <v>19.7</v>
      </c>
      <c r="C52">
        <v>2</v>
      </c>
      <c r="E52" s="43"/>
      <c r="F52" s="48"/>
      <c r="G52" s="48"/>
      <c r="H52" s="44"/>
      <c r="I52" s="43"/>
      <c r="J52" s="43"/>
      <c r="K52" s="46"/>
    </row>
    <row r="53" spans="1:11">
      <c r="A53" t="s">
        <v>82</v>
      </c>
      <c r="B53">
        <v>19.6</v>
      </c>
      <c r="C53">
        <v>3</v>
      </c>
      <c r="E53" s="43"/>
      <c r="F53" s="48"/>
      <c r="G53" s="48"/>
      <c r="H53" s="44"/>
      <c r="I53" s="43"/>
      <c r="J53" s="43"/>
      <c r="K53" s="46"/>
    </row>
    <row r="54" spans="1:11">
      <c r="A54" t="s">
        <v>83</v>
      </c>
      <c r="B54">
        <v>19.6</v>
      </c>
      <c r="C54">
        <v>1</v>
      </c>
      <c r="E54" s="43"/>
      <c r="F54" s="48"/>
      <c r="G54" s="48"/>
      <c r="H54" s="44"/>
      <c r="I54" s="43"/>
      <c r="J54" s="43"/>
      <c r="K54" s="46"/>
    </row>
    <row r="55" spans="1:11">
      <c r="A55" t="s">
        <v>84</v>
      </c>
      <c r="B55">
        <v>19.4</v>
      </c>
      <c r="C55">
        <v>1</v>
      </c>
      <c r="E55" s="43"/>
      <c r="F55" s="48"/>
      <c r="G55" s="48"/>
      <c r="H55" s="44"/>
      <c r="I55" s="43"/>
      <c r="J55" s="43"/>
      <c r="K55" s="46"/>
    </row>
    <row r="56" spans="1:11">
      <c r="A56" t="s">
        <v>85</v>
      </c>
      <c r="B56">
        <v>19.3</v>
      </c>
      <c r="C56">
        <v>3</v>
      </c>
      <c r="E56" s="43"/>
      <c r="F56" s="48"/>
      <c r="G56" s="48"/>
      <c r="H56" s="44"/>
      <c r="I56" s="43"/>
      <c r="J56" s="43"/>
      <c r="K56" s="46"/>
    </row>
    <row r="57" spans="1:11">
      <c r="A57" t="s">
        <v>86</v>
      </c>
      <c r="B57">
        <v>19</v>
      </c>
      <c r="C57">
        <v>1</v>
      </c>
      <c r="E57" s="43"/>
      <c r="F57" s="48"/>
      <c r="G57" s="48"/>
      <c r="H57" s="44"/>
      <c r="I57" s="43"/>
      <c r="J57" s="43"/>
      <c r="K57" s="46"/>
    </row>
    <row r="58" spans="1:11">
      <c r="A58" t="s">
        <v>87</v>
      </c>
      <c r="B58">
        <v>18.9</v>
      </c>
      <c r="C58">
        <v>1</v>
      </c>
      <c r="E58" s="43"/>
      <c r="F58" s="48"/>
      <c r="G58" s="48"/>
      <c r="H58" s="51"/>
      <c r="I58" s="50"/>
      <c r="J58" s="50"/>
      <c r="K58" s="46"/>
    </row>
    <row r="59" spans="1:11">
      <c r="A59" t="s">
        <v>88</v>
      </c>
      <c r="B59">
        <v>18.9</v>
      </c>
      <c r="C59">
        <v>2</v>
      </c>
      <c r="E59" s="43"/>
      <c r="F59" s="48"/>
      <c r="G59" s="48"/>
      <c r="H59" s="51"/>
      <c r="I59" s="50"/>
      <c r="J59" s="50"/>
      <c r="K59" s="46"/>
    </row>
    <row r="60" spans="1:11">
      <c r="A60" t="s">
        <v>89</v>
      </c>
      <c r="B60">
        <v>18.8</v>
      </c>
      <c r="C60">
        <v>1</v>
      </c>
      <c r="E60" s="43"/>
      <c r="F60" s="48"/>
      <c r="G60" s="48"/>
      <c r="H60" s="44"/>
      <c r="I60" s="43"/>
      <c r="J60" s="43"/>
      <c r="K60" s="46"/>
    </row>
    <row r="61" spans="1:11">
      <c r="A61" t="s">
        <v>90</v>
      </c>
      <c r="B61">
        <v>18.6</v>
      </c>
      <c r="C61">
        <v>1</v>
      </c>
      <c r="E61" s="43"/>
      <c r="F61" s="48"/>
      <c r="G61" s="48"/>
      <c r="H61" s="44"/>
      <c r="I61" s="43"/>
      <c r="J61" s="43"/>
      <c r="K61" s="46"/>
    </row>
    <row r="62" spans="1:11">
      <c r="A62" t="s">
        <v>91</v>
      </c>
      <c r="B62">
        <v>18.5</v>
      </c>
      <c r="C62">
        <v>2</v>
      </c>
      <c r="E62" s="43"/>
      <c r="F62" s="48"/>
      <c r="G62" s="48"/>
      <c r="H62" s="44"/>
      <c r="I62" s="43"/>
      <c r="J62" s="43"/>
      <c r="K62" s="46"/>
    </row>
    <row r="63" spans="1:11">
      <c r="A63" t="s">
        <v>92</v>
      </c>
      <c r="B63">
        <v>18.3</v>
      </c>
      <c r="C63">
        <v>3</v>
      </c>
      <c r="E63" s="43"/>
      <c r="F63" s="48"/>
      <c r="G63" s="48"/>
      <c r="H63" s="44"/>
      <c r="I63" s="43"/>
      <c r="J63" s="43"/>
      <c r="K63" s="46"/>
    </row>
    <row r="64" spans="1:11">
      <c r="A64" t="s">
        <v>93</v>
      </c>
      <c r="B64">
        <v>18.3</v>
      </c>
      <c r="C64">
        <v>1</v>
      </c>
      <c r="E64" s="46"/>
      <c r="F64" s="46"/>
      <c r="G64" s="46"/>
      <c r="H64" s="53"/>
      <c r="I64" s="46"/>
      <c r="J64" s="46"/>
      <c r="K64" s="46"/>
    </row>
    <row r="65" spans="1:6">
      <c r="A65" t="s">
        <v>94</v>
      </c>
      <c r="B65">
        <v>18.2</v>
      </c>
      <c r="C65">
        <v>1</v>
      </c>
    </row>
    <row r="66" spans="1:6">
      <c r="A66" t="s">
        <v>95</v>
      </c>
      <c r="B66">
        <v>18.1</v>
      </c>
      <c r="C66">
        <v>2</v>
      </c>
    </row>
    <row r="67" spans="1:6">
      <c r="A67" t="s">
        <v>96</v>
      </c>
      <c r="B67">
        <v>18</v>
      </c>
      <c r="C67">
        <v>3</v>
      </c>
    </row>
    <row r="68" spans="1:6">
      <c r="A68" t="s">
        <v>97</v>
      </c>
      <c r="B68">
        <v>17.8</v>
      </c>
      <c r="C68">
        <v>1</v>
      </c>
    </row>
    <row r="69" spans="1:6">
      <c r="A69" t="s">
        <v>98</v>
      </c>
      <c r="B69">
        <v>17.8</v>
      </c>
      <c r="C69" s="54">
        <v>2</v>
      </c>
      <c r="D69" s="41"/>
      <c r="E69" s="41"/>
      <c r="F69" s="41"/>
    </row>
    <row r="70" spans="1:6">
      <c r="A70" t="s">
        <v>99</v>
      </c>
      <c r="B70">
        <v>17.7</v>
      </c>
      <c r="C70" s="54">
        <v>3</v>
      </c>
      <c r="D70" s="41"/>
      <c r="E70" s="41"/>
      <c r="F70" s="41"/>
    </row>
    <row r="71" spans="1:6">
      <c r="A71" t="s">
        <v>100</v>
      </c>
      <c r="B71">
        <v>17.7</v>
      </c>
      <c r="C71" s="54">
        <v>1</v>
      </c>
      <c r="D71" s="41"/>
      <c r="E71" s="41"/>
      <c r="F71" s="41"/>
    </row>
    <row r="72" spans="1:6">
      <c r="A72" t="s">
        <v>101</v>
      </c>
      <c r="B72">
        <v>17.5</v>
      </c>
      <c r="C72" s="54">
        <v>1</v>
      </c>
      <c r="D72" s="41"/>
      <c r="E72" s="41"/>
      <c r="F72" s="41"/>
    </row>
    <row r="73" spans="1:6">
      <c r="A73" t="s">
        <v>102</v>
      </c>
      <c r="B73">
        <v>17.2</v>
      </c>
      <c r="C73" s="54">
        <v>3</v>
      </c>
      <c r="D73" s="41"/>
      <c r="E73" s="41"/>
      <c r="F73" s="41"/>
    </row>
    <row r="74" spans="1:6">
      <c r="A74" s="41"/>
      <c r="B74" s="41"/>
      <c r="C74" s="41"/>
      <c r="D74" s="41"/>
      <c r="E74" s="41"/>
      <c r="F74" s="41"/>
    </row>
    <row r="75" spans="1:6">
      <c r="A75" s="41"/>
      <c r="B75" s="41"/>
      <c r="C75" s="41"/>
      <c r="D75" s="41"/>
      <c r="E75" s="41"/>
      <c r="F75" s="41"/>
    </row>
    <row r="76" spans="1:6">
      <c r="A76" s="41"/>
      <c r="B76" s="41"/>
      <c r="C76" s="41"/>
      <c r="D76" s="41"/>
      <c r="E76" s="41"/>
      <c r="F76" s="41"/>
    </row>
    <row r="77" spans="1:6">
      <c r="A77" s="41"/>
      <c r="B77" s="41"/>
      <c r="C77" s="41"/>
      <c r="D77" s="41"/>
      <c r="E77" s="41"/>
      <c r="F77" s="41"/>
    </row>
    <row r="78" spans="1:6">
      <c r="A78" s="41"/>
      <c r="B78" s="41"/>
      <c r="C78" s="41"/>
      <c r="D78" s="41"/>
      <c r="E78" s="41"/>
      <c r="F78" s="41"/>
    </row>
    <row r="79" spans="1:6">
      <c r="A79" s="41"/>
      <c r="B79" s="41"/>
      <c r="C79" s="41"/>
      <c r="D79" s="41"/>
      <c r="E79" s="41"/>
      <c r="F79" s="41"/>
    </row>
    <row r="80" spans="1:6">
      <c r="A80" s="41"/>
      <c r="B80" s="41"/>
      <c r="C80" s="41"/>
      <c r="D80" s="41"/>
      <c r="E80" s="41"/>
      <c r="F80" s="41"/>
    </row>
    <row r="81" spans="1:6">
      <c r="A81" s="41"/>
      <c r="B81" s="41"/>
      <c r="C81" s="41"/>
      <c r="D81" s="41"/>
      <c r="E81" s="41"/>
      <c r="F81" s="41"/>
    </row>
    <row r="82" spans="1:6">
      <c r="A82" s="41"/>
      <c r="B82" s="41"/>
      <c r="C82" s="41"/>
      <c r="D82" s="41"/>
      <c r="E82" s="41"/>
      <c r="F82" s="41"/>
    </row>
    <row r="83" spans="1:6">
      <c r="A83" s="41"/>
      <c r="B83" s="41"/>
      <c r="C83" s="41"/>
      <c r="D83" s="41"/>
      <c r="E83" s="41"/>
      <c r="F83" s="41"/>
    </row>
    <row r="84" spans="1:6">
      <c r="A84" s="41"/>
      <c r="B84" s="41"/>
      <c r="C84" s="41"/>
      <c r="D84" s="41"/>
      <c r="E84" s="41"/>
      <c r="F84" s="41"/>
    </row>
    <row r="85" spans="1:6">
      <c r="A85" s="41"/>
      <c r="B85" s="41"/>
      <c r="C85" s="41"/>
      <c r="D85" s="41"/>
      <c r="E85" s="41"/>
      <c r="F85" s="41"/>
    </row>
    <row r="86" spans="1:6">
      <c r="A86" s="41"/>
      <c r="B86" s="41"/>
      <c r="C86" s="41"/>
      <c r="D86" s="41"/>
      <c r="E86" s="41"/>
      <c r="F86" s="41"/>
    </row>
    <row r="87" spans="1:6">
      <c r="A87" s="41"/>
      <c r="B87" s="41"/>
      <c r="C87" s="41"/>
      <c r="D87" s="41"/>
      <c r="E87" s="41"/>
      <c r="F87" s="41"/>
    </row>
  </sheetData>
  <mergeCells count="2">
    <mergeCell ref="F32:I33"/>
    <mergeCell ref="H58:J5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5"/>
  <sheetViews>
    <sheetView topLeftCell="A34" workbookViewId="0">
      <selection activeCell="G75" sqref="G75"/>
    </sheetView>
  </sheetViews>
  <sheetFormatPr defaultColWidth="9" defaultRowHeight="14.4"/>
  <cols>
    <col min="1" max="1" width="16.8888888888889" customWidth="1"/>
    <col min="2" max="2" width="25.3333333333333" customWidth="1"/>
    <col min="3" max="3" width="20.2222222222222" customWidth="1"/>
    <col min="6" max="6" width="26.3333333333333" customWidth="1"/>
    <col min="7" max="7" width="27.8888888888889" customWidth="1"/>
    <col min="8" max="8" width="23" customWidth="1"/>
    <col min="9" max="9" width="13.2222222222222" customWidth="1"/>
    <col min="10" max="10" width="12.8888888888889"/>
  </cols>
  <sheetData>
    <row r="1" spans="1:5">
      <c r="A1" s="17" t="s">
        <v>103</v>
      </c>
      <c r="B1" s="18"/>
      <c r="C1" s="18"/>
      <c r="D1" s="18"/>
      <c r="E1" s="18"/>
    </row>
    <row r="2" spans="1:5">
      <c r="A2" s="18" t="s">
        <v>104</v>
      </c>
      <c r="B2" s="18"/>
      <c r="C2" s="18"/>
      <c r="D2" s="18"/>
      <c r="E2" s="18"/>
    </row>
    <row r="3" spans="1:5">
      <c r="A3" s="18"/>
      <c r="B3" s="18"/>
      <c r="C3" s="18"/>
      <c r="D3" s="18"/>
      <c r="E3" s="18"/>
    </row>
    <row r="4" spans="1:5">
      <c r="A4" s="18" t="s">
        <v>105</v>
      </c>
      <c r="B4" s="18"/>
      <c r="C4" s="18"/>
      <c r="D4" s="18"/>
      <c r="E4" s="18"/>
    </row>
    <row r="5" spans="1:5">
      <c r="A5" s="18" t="s">
        <v>106</v>
      </c>
      <c r="B5" s="18"/>
      <c r="C5" s="18"/>
      <c r="D5" s="18"/>
      <c r="E5" s="18"/>
    </row>
    <row r="6" spans="1:5">
      <c r="A6" s="18" t="s">
        <v>107</v>
      </c>
      <c r="B6" s="18"/>
      <c r="C6" s="18"/>
      <c r="D6" s="18"/>
      <c r="E6" s="18"/>
    </row>
    <row r="7" spans="1:5">
      <c r="A7" s="18" t="s">
        <v>108</v>
      </c>
      <c r="B7" s="18"/>
      <c r="C7" s="19"/>
      <c r="D7" s="18"/>
      <c r="E7" s="18"/>
    </row>
    <row r="8" spans="1:5">
      <c r="A8" s="17" t="s">
        <v>109</v>
      </c>
      <c r="B8" s="18"/>
      <c r="C8" s="18"/>
      <c r="D8" s="18"/>
      <c r="E8" s="18"/>
    </row>
    <row r="9" spans="1:5">
      <c r="A9" s="18" t="s">
        <v>110</v>
      </c>
      <c r="B9" s="18"/>
      <c r="C9" s="18"/>
      <c r="D9" s="18"/>
      <c r="E9" s="18"/>
    </row>
    <row r="10" spans="1:5">
      <c r="A10" s="18" t="s">
        <v>111</v>
      </c>
      <c r="B10" s="18"/>
      <c r="C10" s="18"/>
      <c r="D10" s="18"/>
      <c r="E10" s="18"/>
    </row>
    <row r="11" spans="1:5">
      <c r="A11" s="18" t="s">
        <v>112</v>
      </c>
      <c r="B11" s="18"/>
      <c r="C11" s="18"/>
      <c r="D11" s="18"/>
      <c r="E11" s="18"/>
    </row>
    <row r="12" spans="1:5">
      <c r="A12" s="18" t="s">
        <v>113</v>
      </c>
      <c r="B12" s="18"/>
      <c r="C12" s="18"/>
      <c r="D12" s="18"/>
      <c r="E12" s="18"/>
    </row>
    <row r="13" spans="1:5">
      <c r="A13" s="18" t="s">
        <v>114</v>
      </c>
      <c r="B13" s="18"/>
      <c r="C13" s="18"/>
      <c r="D13" s="19"/>
      <c r="E13" s="18"/>
    </row>
    <row r="14" spans="1:5">
      <c r="A14" s="18" t="s">
        <v>115</v>
      </c>
      <c r="B14" s="18"/>
      <c r="C14" s="18"/>
      <c r="D14" s="18"/>
      <c r="E14" s="18"/>
    </row>
    <row r="15" spans="1:5">
      <c r="A15" s="18" t="s">
        <v>116</v>
      </c>
      <c r="B15" s="18"/>
      <c r="C15" s="18"/>
      <c r="D15" s="18"/>
      <c r="E15" s="18"/>
    </row>
    <row r="16" spans="1:5">
      <c r="A16" s="18" t="s">
        <v>117</v>
      </c>
      <c r="B16" s="18"/>
      <c r="C16" s="18"/>
      <c r="D16" s="18"/>
      <c r="E16" s="18"/>
    </row>
    <row r="17" spans="1:10">
      <c r="A17" s="18" t="s">
        <v>118</v>
      </c>
      <c r="B17" s="18"/>
      <c r="C17" s="18"/>
      <c r="D17" s="18"/>
      <c r="E17" s="18"/>
    </row>
    <row r="18" spans="1:10">
      <c r="A18" s="18" t="s">
        <v>119</v>
      </c>
      <c r="B18" s="18"/>
      <c r="C18" s="18"/>
      <c r="D18" s="18"/>
      <c r="E18" s="18"/>
    </row>
    <row r="19" spans="1:10">
      <c r="A19" s="18"/>
      <c r="B19" s="18"/>
      <c r="C19" s="18"/>
      <c r="D19" s="18"/>
      <c r="E19" s="18"/>
    </row>
    <row r="20" spans="1:10">
      <c r="A20" s="18"/>
      <c r="B20" s="20"/>
      <c r="C20" s="20"/>
      <c r="D20" s="18"/>
      <c r="E20" s="18"/>
    </row>
    <row r="21" spans="1:10">
      <c r="A21" s="21" t="s">
        <v>120</v>
      </c>
      <c r="B21" s="20" t="s">
        <v>121</v>
      </c>
      <c r="C21" s="22" t="s">
        <v>122</v>
      </c>
      <c r="F21" s="23"/>
    </row>
    <row r="22" spans="1:10">
      <c r="A22" s="24" t="s">
        <v>123</v>
      </c>
      <c r="B22" s="20">
        <v>44.971</v>
      </c>
      <c r="C22" s="25">
        <v>175.913692630293</v>
      </c>
      <c r="F22" s="26"/>
    </row>
    <row r="23" spans="1:10">
      <c r="A23" s="24" t="s">
        <v>124</v>
      </c>
      <c r="B23" s="20">
        <v>51.15</v>
      </c>
      <c r="C23" s="25">
        <v>380.31292607518</v>
      </c>
      <c r="F23" s="26"/>
      <c r="G23" s="18"/>
      <c r="H23" s="18"/>
    </row>
    <row r="24" spans="1:10">
      <c r="A24" s="24" t="s">
        <v>125</v>
      </c>
      <c r="B24" s="20">
        <v>39.778</v>
      </c>
      <c r="C24" s="25">
        <v>188.404872332537</v>
      </c>
      <c r="I24" s="27"/>
      <c r="J24" s="27"/>
    </row>
    <row r="25" spans="1:10">
      <c r="A25" s="24" t="s">
        <v>126</v>
      </c>
      <c r="B25" s="20">
        <v>59.943</v>
      </c>
      <c r="C25" s="25">
        <v>471.100686857189</v>
      </c>
      <c r="F25" s="28"/>
      <c r="G25" s="28"/>
      <c r="H25" s="28"/>
      <c r="I25" s="27"/>
      <c r="J25" s="27"/>
    </row>
    <row r="26" spans="1:10">
      <c r="A26" s="24" t="s">
        <v>127</v>
      </c>
      <c r="B26" s="20">
        <v>31.59</v>
      </c>
      <c r="C26" s="25">
        <v>165.765802951185</v>
      </c>
      <c r="F26" s="29"/>
      <c r="G26" s="29"/>
      <c r="H26" s="29"/>
    </row>
    <row r="27" spans="1:10">
      <c r="A27" s="24" t="s">
        <v>128</v>
      </c>
      <c r="B27" s="20">
        <v>43.66</v>
      </c>
      <c r="C27" s="25">
        <v>203.060592130819</v>
      </c>
      <c r="F27" s="30"/>
      <c r="G27" s="30"/>
      <c r="H27" s="30"/>
    </row>
    <row r="28" spans="1:10">
      <c r="A28" s="24" t="s">
        <v>129</v>
      </c>
      <c r="B28" s="20">
        <v>45.06</v>
      </c>
      <c r="C28" s="25">
        <v>249.644173214703</v>
      </c>
    </row>
    <row r="29" spans="1:10">
      <c r="A29" s="24" t="s">
        <v>130</v>
      </c>
      <c r="B29" s="20">
        <v>38.51</v>
      </c>
      <c r="C29" s="25">
        <v>207.285145983149</v>
      </c>
      <c r="F29" s="28"/>
      <c r="G29" s="28"/>
      <c r="H29" s="28"/>
    </row>
    <row r="30" spans="1:10">
      <c r="A30" s="24" t="s">
        <v>131</v>
      </c>
      <c r="B30" s="20">
        <v>42.26</v>
      </c>
      <c r="C30" s="25">
        <v>168.790239844382</v>
      </c>
      <c r="F30" s="29"/>
      <c r="G30" s="29"/>
      <c r="H30" s="29"/>
    </row>
    <row r="31" spans="1:10">
      <c r="A31" s="24" t="s">
        <v>132</v>
      </c>
      <c r="B31" s="20">
        <v>43.7</v>
      </c>
      <c r="C31" s="25">
        <v>206.278576403425</v>
      </c>
      <c r="F31" s="30"/>
      <c r="G31" s="30"/>
      <c r="H31" s="30"/>
    </row>
    <row r="32" spans="1:10">
      <c r="A32" s="24" t="s">
        <v>133</v>
      </c>
      <c r="B32" s="20">
        <v>40.7</v>
      </c>
      <c r="C32" s="25">
        <v>189.509767733419</v>
      </c>
    </row>
    <row r="33" spans="1:9">
      <c r="A33" s="24" t="s">
        <v>134</v>
      </c>
      <c r="B33" s="20">
        <v>50.73</v>
      </c>
      <c r="C33" s="25">
        <v>257.193685117871</v>
      </c>
    </row>
    <row r="34" spans="1:9">
      <c r="A34" s="24" t="s">
        <v>135</v>
      </c>
      <c r="B34" s="20">
        <v>37.76</v>
      </c>
      <c r="C34" s="25">
        <v>104.968785309582</v>
      </c>
      <c r="F34" s="26"/>
      <c r="H34" s="31"/>
      <c r="I34" s="27"/>
    </row>
    <row r="35" spans="1:9">
      <c r="A35" s="24" t="s">
        <v>136</v>
      </c>
      <c r="B35" s="20">
        <v>51.47</v>
      </c>
      <c r="C35" s="25">
        <v>306.132539549123</v>
      </c>
      <c r="F35" s="32"/>
      <c r="G35" s="33"/>
      <c r="I35" s="27"/>
    </row>
    <row r="36" spans="1:9">
      <c r="A36" s="24" t="s">
        <v>137</v>
      </c>
      <c r="B36" s="20">
        <v>48.17</v>
      </c>
      <c r="C36" s="25">
        <v>207.663270458934</v>
      </c>
    </row>
    <row r="37" spans="1:9">
      <c r="A37" s="24" t="s">
        <v>138</v>
      </c>
      <c r="B37" s="20">
        <v>46.99</v>
      </c>
      <c r="C37" s="25">
        <v>149.123858928691</v>
      </c>
      <c r="F37" s="26"/>
      <c r="G37" s="34"/>
    </row>
    <row r="38" spans="1:9">
      <c r="A38" s="24" t="s">
        <v>139</v>
      </c>
      <c r="B38" s="20">
        <v>42.94</v>
      </c>
      <c r="C38" s="25">
        <v>178.839862596889</v>
      </c>
      <c r="F38" s="23"/>
      <c r="G38" s="29"/>
    </row>
    <row r="39" spans="1:9">
      <c r="A39" s="24" t="s">
        <v>140</v>
      </c>
      <c r="B39" s="20">
        <v>56.92</v>
      </c>
      <c r="C39" s="25">
        <v>479.267031316574</v>
      </c>
      <c r="F39" s="35"/>
      <c r="G39" s="29"/>
    </row>
    <row r="40" spans="1:9">
      <c r="A40" s="24" t="s">
        <v>141</v>
      </c>
      <c r="B40" s="20">
        <v>41.92</v>
      </c>
      <c r="C40" s="25">
        <v>154.029964802026</v>
      </c>
      <c r="F40" s="36"/>
    </row>
    <row r="41" spans="1:9">
      <c r="A41" s="24" t="s">
        <v>142</v>
      </c>
      <c r="B41" s="20">
        <v>40.27</v>
      </c>
      <c r="C41" s="25">
        <v>284.369912033088</v>
      </c>
      <c r="G41" s="37"/>
    </row>
    <row r="42" spans="1:9">
      <c r="A42" s="24" t="s">
        <v>143</v>
      </c>
      <c r="B42" s="20">
        <v>44.92</v>
      </c>
      <c r="C42" s="25">
        <v>234.710935418295</v>
      </c>
      <c r="F42" s="26"/>
      <c r="G42" s="27"/>
    </row>
    <row r="43" spans="1:9">
      <c r="A43" s="24" t="s">
        <v>144</v>
      </c>
      <c r="B43" s="20">
        <v>50.23</v>
      </c>
      <c r="C43" s="25">
        <v>213.505324032997</v>
      </c>
    </row>
    <row r="44" spans="1:9">
      <c r="A44" s="24" t="s">
        <v>145</v>
      </c>
      <c r="B44" s="20">
        <v>49.81</v>
      </c>
      <c r="C44" s="25">
        <v>192.861909239923</v>
      </c>
      <c r="F44" s="33"/>
    </row>
    <row r="45" spans="1:9">
      <c r="A45" s="24" t="s">
        <v>146</v>
      </c>
      <c r="B45" s="20">
        <v>53.71</v>
      </c>
      <c r="C45" s="25">
        <v>495.893811413791</v>
      </c>
      <c r="F45" s="26"/>
    </row>
    <row r="46" spans="1:9">
      <c r="A46" s="24" t="s">
        <v>147</v>
      </c>
      <c r="B46" s="20">
        <v>36.45</v>
      </c>
      <c r="C46" s="25">
        <v>292.748414075552</v>
      </c>
    </row>
    <row r="47" spans="1:9">
      <c r="A47" s="24" t="s">
        <v>148</v>
      </c>
      <c r="B47" s="20">
        <v>34.56</v>
      </c>
      <c r="C47" s="25">
        <v>129.139973442075</v>
      </c>
    </row>
    <row r="48" spans="1:9">
      <c r="A48" s="24" t="s">
        <v>149</v>
      </c>
      <c r="B48" s="20">
        <v>46.79</v>
      </c>
      <c r="C48" s="25">
        <v>329.369711053554</v>
      </c>
    </row>
    <row r="49" spans="1:3">
      <c r="A49" s="24" t="s">
        <v>150</v>
      </c>
      <c r="B49" s="20">
        <v>40.06</v>
      </c>
      <c r="C49" s="25">
        <v>208.018060072468</v>
      </c>
    </row>
    <row r="50" spans="1:3">
      <c r="A50" s="24" t="s">
        <v>151</v>
      </c>
      <c r="B50" s="20">
        <v>38.65</v>
      </c>
      <c r="C50" s="25">
        <v>157.027935214477</v>
      </c>
    </row>
    <row r="51" spans="1:3">
      <c r="A51" s="24" t="s">
        <v>152</v>
      </c>
      <c r="B51" s="20">
        <v>45.61</v>
      </c>
      <c r="C51" s="25">
        <v>299.290646859007</v>
      </c>
    </row>
    <row r="52" spans="1:3">
      <c r="A52" s="24" t="s">
        <v>153</v>
      </c>
      <c r="B52" s="20">
        <v>34.07</v>
      </c>
      <c r="C52" s="25">
        <v>308.271200560086</v>
      </c>
    </row>
    <row r="53" spans="1:3">
      <c r="A53" s="24" t="s">
        <v>154</v>
      </c>
      <c r="B53" s="20">
        <v>38.89</v>
      </c>
      <c r="C53" s="25">
        <v>326.390272850345</v>
      </c>
    </row>
    <row r="54" spans="1:3">
      <c r="A54" s="24" t="s">
        <v>155</v>
      </c>
      <c r="B54" s="20">
        <v>45.61</v>
      </c>
      <c r="C54" s="25">
        <v>254.033136706167</v>
      </c>
    </row>
    <row r="55" spans="1:3">
      <c r="A55" s="24" t="s">
        <v>156</v>
      </c>
      <c r="B55" s="20">
        <v>31.94</v>
      </c>
      <c r="C55" s="25">
        <v>145.15724161584</v>
      </c>
    </row>
    <row r="56" spans="1:3">
      <c r="A56" s="24" t="s">
        <v>157</v>
      </c>
      <c r="B56" s="20">
        <v>34.12</v>
      </c>
      <c r="C56" s="25">
        <v>275.250400422878</v>
      </c>
    </row>
    <row r="57" spans="1:3">
      <c r="A57" s="24" t="s">
        <v>158</v>
      </c>
      <c r="B57" s="20">
        <v>53.156</v>
      </c>
      <c r="C57" s="25">
        <v>466.591344759883</v>
      </c>
    </row>
    <row r="58" spans="1:3">
      <c r="A58" s="24" t="s">
        <v>159</v>
      </c>
      <c r="B58" s="20">
        <v>61.89</v>
      </c>
      <c r="C58" s="25">
        <v>604.164457892782</v>
      </c>
    </row>
    <row r="59" spans="1:3">
      <c r="A59" s="24" t="s">
        <v>160</v>
      </c>
      <c r="B59" s="20">
        <v>66.29</v>
      </c>
      <c r="C59" s="25">
        <v>633.23</v>
      </c>
    </row>
    <row r="60" spans="1:3">
      <c r="A60" s="24" t="s">
        <v>161</v>
      </c>
      <c r="B60" s="20">
        <v>54.28</v>
      </c>
      <c r="C60" s="25">
        <v>580.911428330801</v>
      </c>
    </row>
    <row r="61" spans="1:3">
      <c r="A61" s="24" t="s">
        <v>162</v>
      </c>
      <c r="B61" s="20">
        <v>54.08</v>
      </c>
      <c r="C61" s="25">
        <v>375.859023774653</v>
      </c>
    </row>
    <row r="62" spans="1:3">
      <c r="A62" s="24" t="s">
        <v>163</v>
      </c>
      <c r="B62" s="20">
        <v>36.95</v>
      </c>
      <c r="C62" s="25">
        <v>196.48075647716</v>
      </c>
    </row>
    <row r="63" spans="1:3">
      <c r="A63" s="24" t="s">
        <v>164</v>
      </c>
      <c r="B63" s="20">
        <v>35.41</v>
      </c>
      <c r="C63" s="25">
        <v>168.972298853086</v>
      </c>
    </row>
    <row r="64" spans="1:3">
      <c r="A64" s="24" t="s">
        <v>165</v>
      </c>
      <c r="B64" s="20">
        <v>60.76</v>
      </c>
      <c r="C64" s="25">
        <v>448.266652180931</v>
      </c>
    </row>
    <row r="65" spans="2:3">
      <c r="B65" s="20"/>
      <c r="C65" s="20"/>
    </row>
    <row r="66" spans="2:3">
      <c r="B66" s="20"/>
      <c r="C66" s="20"/>
    </row>
    <row r="67" spans="2:3">
      <c r="B67" s="20"/>
      <c r="C67" s="20"/>
    </row>
    <row r="68" spans="2:3">
      <c r="B68" s="20"/>
      <c r="C68" s="20"/>
    </row>
    <row r="69" spans="2:3">
      <c r="B69" s="20"/>
      <c r="C69" s="20"/>
    </row>
    <row r="70" spans="2:3">
      <c r="B70" s="20"/>
      <c r="C70" s="20"/>
    </row>
    <row r="71" spans="2:3">
      <c r="B71" s="20"/>
      <c r="C71" s="20"/>
    </row>
    <row r="72" spans="2:3">
      <c r="B72" s="20"/>
      <c r="C72" s="20"/>
    </row>
    <row r="73" spans="2:3">
      <c r="B73" s="20"/>
      <c r="C73" s="20"/>
    </row>
    <row r="74" spans="2:3">
      <c r="B74" s="20"/>
      <c r="C74" s="20"/>
    </row>
    <row r="75" spans="2:3">
      <c r="B75" s="20"/>
      <c r="C75" s="20"/>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6"/>
  <sheetViews>
    <sheetView tabSelected="1" workbookViewId="0">
      <selection activeCell="I18" sqref="I18"/>
    </sheetView>
  </sheetViews>
  <sheetFormatPr defaultColWidth="8.83333333333333" defaultRowHeight="14.4"/>
  <cols>
    <col min="1" max="16384" width="8.83333333333333" style="1"/>
  </cols>
  <sheetData>
    <row r="1" s="1" customFormat="1" spans="1:21">
      <c r="A1" s="2"/>
      <c r="B1" s="2"/>
      <c r="C1" s="2"/>
      <c r="D1" s="2"/>
      <c r="E1" s="2"/>
      <c r="F1" s="2"/>
      <c r="G1" s="2"/>
      <c r="H1" s="2"/>
      <c r="I1" s="2"/>
      <c r="J1" s="2"/>
      <c r="K1" s="2"/>
      <c r="L1" s="2"/>
      <c r="M1" s="2"/>
      <c r="N1" s="2"/>
      <c r="O1" s="2"/>
      <c r="P1" s="2"/>
      <c r="Q1" s="2"/>
      <c r="R1" s="2"/>
      <c r="S1" s="2"/>
      <c r="T1" s="2"/>
      <c r="U1" s="2"/>
    </row>
    <row r="2" s="1" customFormat="1" spans="1:21">
      <c r="A2" s="3" t="s">
        <v>166</v>
      </c>
      <c r="B2" s="2"/>
      <c r="C2" s="2"/>
      <c r="D2" s="2"/>
      <c r="E2" s="2"/>
      <c r="F2" s="2"/>
      <c r="G2" s="2"/>
      <c r="H2" s="2"/>
      <c r="I2" s="2"/>
      <c r="J2" s="2"/>
      <c r="K2" s="2"/>
      <c r="L2" s="2"/>
      <c r="M2" s="2"/>
      <c r="N2" s="2"/>
      <c r="O2" s="2"/>
      <c r="P2" s="2"/>
      <c r="Q2" s="2"/>
      <c r="R2" s="2"/>
      <c r="S2" s="2"/>
      <c r="T2" s="2"/>
      <c r="U2" s="2"/>
    </row>
    <row r="3" s="1" customFormat="1" spans="1:21">
      <c r="A3" s="2"/>
      <c r="B3" s="2"/>
      <c r="C3" s="2"/>
      <c r="D3" s="2"/>
      <c r="E3" s="2"/>
      <c r="F3" s="2"/>
      <c r="G3" s="2"/>
      <c r="H3" s="2"/>
      <c r="I3" s="2"/>
      <c r="J3" s="2"/>
      <c r="K3" s="2"/>
      <c r="L3" s="2"/>
      <c r="M3" s="2"/>
      <c r="N3" s="2"/>
      <c r="O3" s="2"/>
      <c r="P3" s="2"/>
      <c r="Q3" s="2"/>
      <c r="R3" s="2"/>
      <c r="S3" s="2"/>
      <c r="T3" s="2"/>
      <c r="U3" s="2"/>
    </row>
    <row r="4" s="1" customFormat="1" spans="1:21">
      <c r="A4" s="2" t="s">
        <v>167</v>
      </c>
      <c r="B4" s="2"/>
      <c r="C4" s="2"/>
      <c r="D4" s="2"/>
      <c r="E4" s="2"/>
      <c r="F4" s="2"/>
      <c r="G4" s="2"/>
      <c r="H4" s="4"/>
      <c r="I4" s="2"/>
      <c r="J4" s="2"/>
      <c r="K4" s="2"/>
      <c r="L4" s="2"/>
      <c r="M4" s="2"/>
      <c r="N4" s="2"/>
      <c r="O4" s="2"/>
      <c r="P4" s="2"/>
      <c r="Q4" s="2"/>
      <c r="R4" s="2"/>
      <c r="S4" s="2"/>
      <c r="T4" s="2"/>
      <c r="U4" s="2"/>
    </row>
    <row r="5" s="1" customFormat="1" spans="1:21">
      <c r="A5" s="5"/>
      <c r="B5" s="2"/>
      <c r="C5" s="2"/>
      <c r="D5" s="2"/>
      <c r="E5" s="2"/>
      <c r="F5" s="2"/>
      <c r="G5" s="2"/>
      <c r="H5" s="2"/>
      <c r="I5" s="2"/>
      <c r="J5" s="2"/>
      <c r="K5" s="2"/>
      <c r="L5" s="2"/>
      <c r="M5" s="2"/>
      <c r="N5" s="2"/>
      <c r="O5" s="2"/>
      <c r="P5" s="2"/>
      <c r="Q5" s="2"/>
      <c r="R5" s="2"/>
      <c r="S5" s="2"/>
      <c r="T5" s="2"/>
      <c r="U5" s="2"/>
    </row>
    <row r="6" s="1" customFormat="1" spans="1:21">
      <c r="A6" s="6"/>
      <c r="B6" s="2"/>
      <c r="C6" s="2"/>
      <c r="D6" s="2"/>
      <c r="E6" s="2"/>
      <c r="F6" s="2"/>
      <c r="G6" s="2"/>
      <c r="H6" s="2"/>
      <c r="I6" s="2"/>
      <c r="J6" s="2"/>
      <c r="K6" s="2"/>
      <c r="L6" s="2"/>
      <c r="M6" s="2"/>
      <c r="N6" s="2"/>
      <c r="O6" s="2"/>
      <c r="P6" s="2"/>
      <c r="Q6" s="2"/>
      <c r="R6" s="2"/>
      <c r="S6" s="2"/>
      <c r="T6" s="2"/>
      <c r="U6" s="2"/>
    </row>
    <row r="7" s="1" customFormat="1" spans="1:21">
      <c r="A7" s="6"/>
      <c r="B7" s="2"/>
      <c r="C7" s="2"/>
      <c r="D7" s="2"/>
      <c r="E7" s="2"/>
      <c r="F7" s="2"/>
      <c r="G7" s="2"/>
      <c r="H7" s="2"/>
      <c r="I7" s="2"/>
      <c r="J7" s="2"/>
      <c r="K7" s="2"/>
      <c r="L7" s="2"/>
      <c r="M7" s="2"/>
      <c r="N7" s="2"/>
      <c r="O7" s="2"/>
      <c r="P7" s="2"/>
      <c r="Q7" s="2"/>
      <c r="R7" s="2"/>
      <c r="S7" s="2"/>
      <c r="T7" s="2"/>
      <c r="U7" s="2"/>
    </row>
    <row r="8" s="1" customFormat="1" spans="1:21">
      <c r="A8" s="2" t="s">
        <v>168</v>
      </c>
      <c r="B8" s="2"/>
      <c r="C8" s="2"/>
      <c r="D8" s="2"/>
      <c r="E8" s="2"/>
      <c r="F8" s="2"/>
      <c r="G8" s="2"/>
      <c r="H8" s="2"/>
      <c r="I8" s="2"/>
      <c r="J8" s="2"/>
      <c r="K8" s="2"/>
      <c r="L8" s="2"/>
      <c r="M8" s="2"/>
      <c r="N8" s="2"/>
      <c r="O8" s="2"/>
      <c r="P8" s="2"/>
      <c r="Q8" s="2"/>
      <c r="R8" s="2"/>
      <c r="S8" s="2"/>
      <c r="T8" s="2"/>
      <c r="U8" s="2"/>
    </row>
    <row r="9" s="1" customFormat="1" spans="1:21">
      <c r="A9" s="7"/>
      <c r="B9" s="2"/>
      <c r="C9" s="2"/>
      <c r="D9" s="2"/>
      <c r="E9" s="2"/>
      <c r="F9" s="2"/>
      <c r="G9" s="2"/>
      <c r="H9" s="2"/>
      <c r="I9" s="2"/>
      <c r="J9" s="2"/>
      <c r="K9" s="2"/>
      <c r="L9" s="2"/>
      <c r="M9" s="2"/>
      <c r="N9" s="2"/>
      <c r="O9" s="2"/>
      <c r="P9" s="2"/>
      <c r="Q9" s="2"/>
      <c r="R9" s="2"/>
      <c r="S9" s="2"/>
      <c r="T9" s="2"/>
      <c r="U9" s="2"/>
    </row>
    <row r="10" s="1" customFormat="1" spans="1:21">
      <c r="A10" s="2"/>
      <c r="B10" s="2"/>
      <c r="C10" s="2"/>
      <c r="D10" s="2"/>
      <c r="E10" s="2"/>
      <c r="F10" s="2"/>
      <c r="G10" s="2"/>
      <c r="H10" s="2"/>
      <c r="I10" s="2"/>
      <c r="J10" s="2"/>
      <c r="K10" s="2"/>
      <c r="L10" s="2"/>
      <c r="M10" s="2"/>
      <c r="N10" s="2"/>
      <c r="O10" s="2"/>
      <c r="P10" s="2"/>
      <c r="Q10" s="2"/>
      <c r="R10" s="2"/>
      <c r="S10" s="2"/>
      <c r="T10" s="2"/>
      <c r="U10" s="2"/>
    </row>
    <row r="11" s="1" customFormat="1" spans="1:21">
      <c r="A11" s="2" t="s">
        <v>169</v>
      </c>
      <c r="B11" s="2"/>
      <c r="C11" s="2"/>
      <c r="D11" s="2"/>
      <c r="E11" s="2"/>
      <c r="F11" s="2"/>
      <c r="G11" s="2"/>
      <c r="H11" s="2"/>
      <c r="I11" s="2"/>
      <c r="J11" s="2"/>
      <c r="K11" s="2"/>
      <c r="L11" s="2"/>
      <c r="M11" s="2"/>
      <c r="N11" s="2"/>
      <c r="O11" s="2"/>
      <c r="P11" s="2"/>
      <c r="Q11" s="2"/>
      <c r="R11" s="2"/>
      <c r="S11" s="2"/>
      <c r="T11" s="2"/>
      <c r="U11" s="2"/>
    </row>
    <row r="12" s="1" customFormat="1" spans="1:21">
      <c r="A12" s="2"/>
      <c r="B12" s="2"/>
      <c r="C12" s="2"/>
      <c r="D12" s="2"/>
      <c r="E12" s="2"/>
      <c r="F12" s="2"/>
      <c r="G12" s="2"/>
      <c r="H12" s="2"/>
      <c r="I12" s="2"/>
      <c r="J12" s="2"/>
      <c r="K12" s="2"/>
      <c r="L12" s="2"/>
      <c r="M12" s="2"/>
      <c r="N12" s="2"/>
      <c r="O12" s="2"/>
      <c r="P12" s="2"/>
      <c r="Q12" s="2"/>
      <c r="R12" s="2"/>
      <c r="S12" s="2"/>
      <c r="T12" s="2"/>
      <c r="U12" s="2"/>
    </row>
    <row r="13" s="1" customFormat="1" spans="1:21">
      <c r="A13" s="2" t="s">
        <v>170</v>
      </c>
      <c r="B13" s="2"/>
      <c r="C13" s="2"/>
      <c r="D13" s="2"/>
      <c r="E13" s="2"/>
      <c r="F13" s="2"/>
      <c r="G13" s="2"/>
      <c r="H13" s="2"/>
      <c r="I13" s="2"/>
      <c r="J13" s="2"/>
      <c r="K13" s="2"/>
      <c r="L13" s="2"/>
      <c r="M13" s="2"/>
      <c r="N13" s="2"/>
      <c r="O13" s="2"/>
      <c r="P13" s="2"/>
      <c r="Q13" s="2"/>
      <c r="R13" s="2"/>
      <c r="S13" s="2"/>
      <c r="T13" s="2"/>
      <c r="U13" s="2"/>
    </row>
    <row r="14" s="1" customFormat="1" spans="1:21">
      <c r="A14" s="6"/>
      <c r="B14" s="2"/>
      <c r="C14" s="2"/>
      <c r="D14" s="2"/>
      <c r="E14" s="2"/>
      <c r="F14" s="2"/>
      <c r="G14" s="2"/>
      <c r="H14" s="2"/>
      <c r="I14" s="8"/>
      <c r="J14" s="2"/>
      <c r="K14" s="2"/>
      <c r="L14" s="2"/>
      <c r="M14" s="2"/>
      <c r="N14" s="2"/>
      <c r="O14" s="2"/>
      <c r="P14" s="2"/>
      <c r="Q14" s="2"/>
      <c r="R14" s="2"/>
      <c r="S14" s="2"/>
      <c r="T14" s="2"/>
      <c r="U14" s="2"/>
    </row>
    <row r="15" s="1" customFormat="1" spans="1:21">
      <c r="A15" s="6"/>
      <c r="B15" s="2"/>
      <c r="C15" s="2"/>
      <c r="D15" s="2"/>
      <c r="E15" s="2"/>
      <c r="F15" s="2"/>
      <c r="G15" s="2"/>
      <c r="H15" s="2"/>
      <c r="I15" s="2"/>
      <c r="J15" s="2"/>
      <c r="K15" s="2"/>
      <c r="L15" s="2"/>
      <c r="M15" s="2"/>
      <c r="N15" s="2"/>
      <c r="O15" s="2"/>
      <c r="P15" s="2"/>
      <c r="Q15" s="2"/>
      <c r="R15" s="2"/>
      <c r="S15" s="2"/>
      <c r="T15" s="2"/>
      <c r="U15" s="2"/>
    </row>
    <row r="16" s="1" customFormat="1" ht="15.15" spans="1:21">
      <c r="A16" s="9" t="s">
        <v>171</v>
      </c>
      <c r="B16" s="2"/>
      <c r="C16" s="2"/>
      <c r="D16" s="2"/>
      <c r="E16" s="2"/>
      <c r="F16" s="2"/>
      <c r="G16" s="2"/>
      <c r="H16" s="2"/>
      <c r="I16" s="2"/>
      <c r="J16" s="2"/>
      <c r="K16" s="2"/>
      <c r="L16" s="2"/>
      <c r="M16" s="2"/>
      <c r="N16" s="2"/>
      <c r="O16" s="2"/>
      <c r="P16" s="2"/>
      <c r="Q16" s="2"/>
      <c r="R16" s="2"/>
      <c r="S16" s="2"/>
      <c r="T16" s="2"/>
      <c r="U16" s="2"/>
    </row>
    <row r="17" s="1" customFormat="1" spans="1:21">
      <c r="A17" s="2">
        <v>204</v>
      </c>
      <c r="B17" s="2"/>
      <c r="C17" s="2"/>
      <c r="D17" s="2"/>
      <c r="E17" s="2"/>
      <c r="F17" s="10"/>
      <c r="G17" s="10"/>
      <c r="H17" s="2"/>
      <c r="I17" s="2"/>
      <c r="J17" s="2"/>
      <c r="K17" s="2"/>
      <c r="L17" s="2"/>
      <c r="M17" s="2"/>
      <c r="N17" s="2"/>
      <c r="O17" s="2"/>
      <c r="P17" s="2"/>
      <c r="Q17" s="2"/>
      <c r="R17" s="2"/>
      <c r="S17" s="2"/>
      <c r="T17" s="2"/>
      <c r="U17" s="2"/>
    </row>
    <row r="18" s="1" customFormat="1" spans="1:21">
      <c r="A18" s="2">
        <v>187</v>
      </c>
      <c r="B18" s="2"/>
      <c r="C18" s="2"/>
      <c r="D18" s="2"/>
      <c r="E18" s="2"/>
      <c r="F18" s="2"/>
      <c r="G18" s="11"/>
      <c r="H18" s="2"/>
      <c r="I18" s="2"/>
      <c r="J18" s="2"/>
      <c r="K18" s="2"/>
      <c r="L18" s="2"/>
      <c r="M18" s="2"/>
      <c r="N18" s="2"/>
      <c r="O18" s="2"/>
      <c r="P18" s="2"/>
      <c r="Q18" s="2"/>
      <c r="R18" s="2"/>
      <c r="S18" s="2"/>
      <c r="T18" s="2"/>
      <c r="U18" s="2"/>
    </row>
    <row r="19" s="1" customFormat="1" spans="1:21">
      <c r="A19" s="2">
        <v>271</v>
      </c>
      <c r="B19" s="2"/>
      <c r="C19" s="2"/>
      <c r="D19" s="2"/>
      <c r="E19" s="2"/>
      <c r="F19" s="2"/>
      <c r="G19" s="11"/>
      <c r="H19" s="2"/>
      <c r="I19" s="2"/>
      <c r="J19" s="2"/>
      <c r="K19" s="2"/>
      <c r="L19" s="2"/>
      <c r="M19" s="2"/>
      <c r="N19" s="2"/>
      <c r="O19" s="2"/>
      <c r="P19" s="2"/>
      <c r="Q19" s="2"/>
      <c r="R19" s="2"/>
      <c r="S19" s="2"/>
      <c r="T19" s="2"/>
      <c r="U19" s="2"/>
    </row>
    <row r="20" s="1" customFormat="1" spans="1:21">
      <c r="A20" s="2">
        <v>175</v>
      </c>
      <c r="B20" s="2"/>
      <c r="C20" s="2"/>
      <c r="D20" s="2"/>
      <c r="E20" s="2"/>
      <c r="F20" s="2"/>
      <c r="G20" s="11"/>
      <c r="H20" s="2"/>
      <c r="I20" s="2"/>
      <c r="J20" s="2"/>
      <c r="K20" s="2"/>
      <c r="L20" s="2"/>
      <c r="M20" s="2"/>
      <c r="N20" s="2"/>
      <c r="O20" s="2"/>
      <c r="P20" s="2"/>
      <c r="Q20" s="2"/>
      <c r="R20" s="2"/>
      <c r="S20" s="2"/>
      <c r="T20" s="2"/>
      <c r="U20" s="2"/>
    </row>
    <row r="21" s="1" customFormat="1" spans="1:21">
      <c r="A21" s="2">
        <v>196</v>
      </c>
      <c r="B21" s="2"/>
      <c r="C21" s="2"/>
      <c r="D21" s="2"/>
      <c r="E21" s="2"/>
      <c r="F21" s="2"/>
      <c r="G21" s="11"/>
      <c r="H21" s="2"/>
      <c r="I21" s="2"/>
      <c r="J21" s="2"/>
      <c r="K21" s="2"/>
      <c r="L21" s="2"/>
      <c r="M21" s="2"/>
      <c r="N21" s="2"/>
      <c r="O21" s="2"/>
      <c r="P21" s="2"/>
      <c r="Q21" s="2"/>
      <c r="R21" s="2"/>
      <c r="S21" s="2"/>
      <c r="T21" s="2"/>
      <c r="U21" s="2"/>
    </row>
    <row r="22" s="1" customFormat="1" spans="1:21">
      <c r="A22" s="2">
        <v>224</v>
      </c>
      <c r="B22" s="2"/>
      <c r="C22" s="2"/>
      <c r="D22" s="2"/>
      <c r="E22" s="2"/>
      <c r="F22" s="2"/>
      <c r="G22" s="11"/>
      <c r="H22" s="2"/>
      <c r="I22" s="2"/>
      <c r="J22" s="2"/>
      <c r="K22" s="2"/>
      <c r="L22" s="2"/>
      <c r="M22" s="2"/>
      <c r="N22" s="2"/>
      <c r="O22" s="2"/>
      <c r="P22" s="2"/>
      <c r="Q22" s="2"/>
      <c r="R22" s="2"/>
      <c r="S22" s="2"/>
      <c r="T22" s="2"/>
      <c r="U22" s="2"/>
    </row>
    <row r="23" s="1" customFormat="1" ht="15.15" spans="1:21">
      <c r="A23" s="2">
        <v>214</v>
      </c>
      <c r="B23" s="2"/>
      <c r="C23" s="2"/>
      <c r="D23" s="2"/>
      <c r="E23" s="2"/>
      <c r="F23" s="2"/>
      <c r="G23" s="11"/>
      <c r="H23" s="2"/>
      <c r="I23" s="2"/>
      <c r="J23" s="2"/>
      <c r="K23" s="2"/>
      <c r="L23" s="2"/>
      <c r="M23" s="2"/>
      <c r="N23" s="2"/>
      <c r="O23" s="2"/>
      <c r="P23" s="2"/>
      <c r="Q23" s="2"/>
      <c r="R23" s="2"/>
      <c r="S23" s="2"/>
      <c r="T23" s="2"/>
      <c r="U23" s="2"/>
    </row>
    <row r="24" s="1" customFormat="1" spans="1:21">
      <c r="A24" s="2">
        <v>306</v>
      </c>
      <c r="B24" s="2"/>
      <c r="C24" s="2"/>
      <c r="D24" s="2"/>
      <c r="E24" s="2"/>
      <c r="F24" s="2"/>
      <c r="G24" s="11"/>
      <c r="H24" s="2"/>
      <c r="I24" s="2"/>
      <c r="J24" s="2"/>
      <c r="K24" s="2"/>
      <c r="L24" s="2"/>
      <c r="M24" s="2"/>
      <c r="N24" s="2"/>
      <c r="O24" s="2"/>
      <c r="P24" s="2"/>
      <c r="Q24" s="2"/>
      <c r="R24" s="2"/>
      <c r="S24" s="2"/>
      <c r="T24" s="12"/>
      <c r="U24" s="12"/>
    </row>
    <row r="25" s="1" customFormat="1" spans="1:21">
      <c r="A25" s="2">
        <v>210</v>
      </c>
      <c r="B25" s="2"/>
      <c r="C25" s="2"/>
      <c r="D25" s="2"/>
      <c r="E25" s="2"/>
      <c r="F25" s="2"/>
      <c r="G25" s="11"/>
      <c r="H25" s="2"/>
      <c r="I25" s="2"/>
      <c r="J25" s="2"/>
      <c r="K25" s="2"/>
      <c r="L25" s="2"/>
      <c r="M25" s="2"/>
      <c r="N25" s="2"/>
      <c r="O25" s="2"/>
      <c r="P25" s="2"/>
      <c r="Q25" s="2"/>
      <c r="R25" s="2"/>
      <c r="S25" s="2"/>
      <c r="T25" s="13"/>
      <c r="U25" s="14"/>
    </row>
    <row r="26" s="1" customFormat="1" spans="1:21">
      <c r="A26" s="2">
        <v>235</v>
      </c>
      <c r="B26" s="2"/>
      <c r="C26" s="2"/>
      <c r="D26" s="2"/>
      <c r="E26" s="2"/>
      <c r="F26" s="2"/>
      <c r="G26" s="11"/>
      <c r="H26" s="2"/>
      <c r="I26" s="2"/>
      <c r="J26" s="2"/>
      <c r="K26" s="2"/>
      <c r="L26" s="2"/>
      <c r="M26" s="2"/>
      <c r="N26" s="2"/>
      <c r="O26" s="2"/>
      <c r="P26" s="2"/>
      <c r="Q26" s="2"/>
      <c r="R26" s="2"/>
      <c r="S26" s="2"/>
      <c r="T26" s="13"/>
      <c r="U26" s="14"/>
    </row>
    <row r="27" s="1" customFormat="1" spans="1:21">
      <c r="A27" s="2">
        <v>331</v>
      </c>
      <c r="B27" s="2"/>
      <c r="C27" s="2"/>
      <c r="D27" s="2"/>
      <c r="E27" s="2"/>
      <c r="F27" s="2"/>
      <c r="G27" s="2"/>
      <c r="H27" s="2"/>
      <c r="I27" s="2"/>
      <c r="J27" s="2"/>
      <c r="K27" s="2"/>
      <c r="L27" s="2"/>
      <c r="M27" s="2"/>
      <c r="N27" s="2"/>
      <c r="O27" s="2"/>
      <c r="P27" s="2"/>
      <c r="Q27" s="2"/>
      <c r="R27" s="2"/>
      <c r="S27" s="2"/>
      <c r="T27" s="13"/>
      <c r="U27" s="14"/>
    </row>
    <row r="28" s="1" customFormat="1" spans="1:21">
      <c r="A28" s="2">
        <v>241</v>
      </c>
      <c r="B28" s="2"/>
      <c r="C28" s="2"/>
      <c r="D28" s="2"/>
      <c r="E28" s="2"/>
      <c r="F28" s="2"/>
      <c r="G28" s="2"/>
      <c r="H28" s="2"/>
      <c r="I28" s="2"/>
      <c r="J28" s="2"/>
      <c r="K28" s="2"/>
      <c r="L28" s="2"/>
      <c r="M28" s="2"/>
      <c r="N28" s="2"/>
      <c r="O28" s="2"/>
      <c r="P28" s="2"/>
      <c r="Q28" s="2"/>
      <c r="R28" s="2"/>
      <c r="S28" s="2"/>
      <c r="T28" s="13"/>
      <c r="U28" s="14"/>
    </row>
    <row r="29" s="1" customFormat="1" spans="1:21">
      <c r="A29" s="2">
        <v>231</v>
      </c>
      <c r="B29" s="2"/>
      <c r="C29" s="2"/>
      <c r="D29" s="2"/>
      <c r="E29" s="2"/>
      <c r="F29" s="2"/>
      <c r="G29" s="2"/>
      <c r="H29" s="2"/>
      <c r="I29" s="2"/>
      <c r="J29" s="2"/>
      <c r="K29" s="2"/>
      <c r="L29" s="2"/>
      <c r="M29" s="2"/>
      <c r="N29" s="2"/>
      <c r="O29" s="2"/>
      <c r="P29" s="2"/>
      <c r="Q29" s="2"/>
      <c r="R29" s="2"/>
      <c r="S29" s="2"/>
      <c r="T29" s="13"/>
      <c r="U29" s="14"/>
    </row>
    <row r="30" s="1" customFormat="1" spans="1:21">
      <c r="A30" s="2">
        <v>180</v>
      </c>
      <c r="B30" s="2"/>
      <c r="C30" s="2"/>
      <c r="D30" s="2"/>
      <c r="E30" s="2"/>
      <c r="F30" s="2"/>
      <c r="G30" s="2"/>
      <c r="H30" s="2"/>
      <c r="I30" s="2"/>
      <c r="J30" s="2"/>
      <c r="K30" s="2"/>
      <c r="L30" s="2"/>
      <c r="M30" s="2"/>
      <c r="N30" s="2"/>
      <c r="O30" s="2"/>
      <c r="P30" s="2"/>
      <c r="Q30" s="2"/>
      <c r="R30" s="2"/>
      <c r="S30" s="2"/>
      <c r="T30" s="13"/>
      <c r="U30" s="14"/>
    </row>
    <row r="31" s="1" customFormat="1" spans="1:21">
      <c r="A31" s="2">
        <v>180</v>
      </c>
      <c r="B31" s="2"/>
      <c r="C31" s="2"/>
      <c r="D31" s="2"/>
      <c r="E31" s="2"/>
      <c r="F31" s="2"/>
      <c r="G31" s="2"/>
      <c r="H31" s="2"/>
      <c r="I31" s="2"/>
      <c r="J31" s="2"/>
      <c r="K31" s="2"/>
      <c r="L31" s="2"/>
      <c r="M31" s="2"/>
      <c r="N31" s="2"/>
      <c r="O31" s="2"/>
      <c r="P31" s="2"/>
      <c r="Q31" s="2"/>
      <c r="R31" s="2"/>
      <c r="S31" s="2"/>
      <c r="T31" s="13"/>
      <c r="U31" s="14"/>
    </row>
    <row r="32" s="1" customFormat="1" spans="1:21">
      <c r="A32" s="2">
        <v>220</v>
      </c>
      <c r="B32" s="2"/>
      <c r="C32" s="2"/>
      <c r="D32" s="2"/>
      <c r="E32" s="2"/>
      <c r="F32" s="2"/>
      <c r="G32" s="2"/>
      <c r="H32" s="2"/>
      <c r="I32" s="2"/>
      <c r="J32" s="2"/>
      <c r="K32" s="2"/>
      <c r="L32" s="2"/>
      <c r="M32" s="2"/>
      <c r="N32" s="2"/>
      <c r="O32" s="2"/>
      <c r="P32" s="2"/>
      <c r="Q32" s="2"/>
      <c r="R32" s="2"/>
      <c r="S32" s="2"/>
      <c r="T32" s="13"/>
      <c r="U32" s="14"/>
    </row>
    <row r="33" s="1" customFormat="1" spans="1:21">
      <c r="A33" s="2">
        <v>224</v>
      </c>
      <c r="B33" s="2"/>
      <c r="C33" s="2"/>
      <c r="D33" s="2"/>
      <c r="E33" s="2"/>
      <c r="F33" s="2"/>
      <c r="G33" s="2"/>
      <c r="H33" s="2"/>
      <c r="I33" s="2"/>
      <c r="J33" s="2"/>
      <c r="K33" s="2"/>
      <c r="L33" s="2"/>
      <c r="M33" s="2"/>
      <c r="N33" s="2"/>
      <c r="O33" s="2"/>
      <c r="P33" s="2"/>
      <c r="Q33" s="2"/>
      <c r="R33" s="2"/>
      <c r="S33" s="2"/>
      <c r="T33" s="13"/>
      <c r="U33" s="14"/>
    </row>
    <row r="34" s="1" customFormat="1" spans="1:21">
      <c r="A34" s="2">
        <v>298</v>
      </c>
      <c r="B34" s="2"/>
      <c r="C34" s="2"/>
      <c r="D34" s="2"/>
      <c r="E34" s="2"/>
      <c r="F34" s="2"/>
      <c r="G34" s="2"/>
      <c r="H34" s="2"/>
      <c r="I34" s="2"/>
      <c r="J34" s="2"/>
      <c r="K34" s="2"/>
      <c r="L34" s="2"/>
      <c r="M34" s="2"/>
      <c r="N34" s="2"/>
      <c r="O34" s="2"/>
      <c r="P34" s="2"/>
      <c r="Q34" s="2"/>
      <c r="R34" s="2"/>
      <c r="S34" s="2"/>
    </row>
    <row r="35" s="1" customFormat="1" spans="1:21">
      <c r="A35" s="2">
        <v>304</v>
      </c>
      <c r="B35" s="2"/>
      <c r="C35" s="2"/>
      <c r="D35" s="2"/>
      <c r="E35" s="2"/>
      <c r="F35" s="2"/>
      <c r="G35" s="2"/>
      <c r="H35" s="2"/>
      <c r="I35" s="2"/>
      <c r="J35" s="2"/>
      <c r="K35" s="2"/>
      <c r="L35" s="2"/>
      <c r="M35" s="2"/>
      <c r="N35" s="2"/>
      <c r="O35" s="2"/>
      <c r="P35" s="2"/>
      <c r="Q35" s="2"/>
      <c r="R35" s="2"/>
      <c r="S35" s="2"/>
      <c r="T35" s="2"/>
      <c r="U35" s="2"/>
    </row>
    <row r="36" s="1" customFormat="1" spans="1:21">
      <c r="A36" s="2">
        <v>235</v>
      </c>
      <c r="B36" s="2"/>
      <c r="C36" s="2"/>
      <c r="D36" s="2"/>
      <c r="E36" s="2"/>
      <c r="F36" s="2"/>
      <c r="G36" s="2"/>
      <c r="H36" s="11"/>
      <c r="I36" s="11"/>
      <c r="J36" s="11"/>
      <c r="K36" s="11"/>
      <c r="L36" s="11"/>
      <c r="M36" s="11"/>
      <c r="N36" s="11"/>
      <c r="O36" s="11"/>
      <c r="P36" s="11"/>
      <c r="Q36" s="11"/>
      <c r="R36" s="11"/>
      <c r="S36" s="11"/>
      <c r="T36" s="11"/>
      <c r="U36" s="11"/>
    </row>
    <row r="37" s="1" customFormat="1" ht="15.15" spans="1:21">
      <c r="A37" s="2">
        <v>207</v>
      </c>
      <c r="B37" s="2"/>
      <c r="C37" s="2"/>
      <c r="D37" s="2"/>
      <c r="E37" s="2"/>
      <c r="F37" s="2"/>
      <c r="G37" s="2"/>
      <c r="H37" s="11"/>
      <c r="I37" s="15"/>
      <c r="J37" s="15"/>
      <c r="K37" s="11"/>
      <c r="L37" s="11"/>
      <c r="M37" s="11"/>
      <c r="N37" s="11"/>
      <c r="O37" s="11"/>
      <c r="P37" s="11"/>
      <c r="Q37" s="11"/>
      <c r="R37" s="11"/>
      <c r="S37" s="11"/>
      <c r="T37" s="11"/>
      <c r="U37" s="11"/>
    </row>
    <row r="38" s="1" customFormat="1" spans="1:21">
      <c r="A38" s="2">
        <v>223</v>
      </c>
      <c r="B38" s="2"/>
      <c r="C38" s="2"/>
      <c r="D38" s="2"/>
      <c r="E38" s="2"/>
      <c r="F38" s="2"/>
      <c r="G38" s="16"/>
      <c r="H38" s="16"/>
      <c r="I38" s="11"/>
      <c r="J38" s="11"/>
      <c r="K38" s="11"/>
      <c r="L38" s="11"/>
      <c r="M38" s="11"/>
      <c r="N38" s="11"/>
      <c r="O38" s="11"/>
      <c r="P38" s="11"/>
      <c r="Q38" s="11"/>
      <c r="R38" s="11"/>
      <c r="S38" s="11"/>
      <c r="T38" s="11"/>
      <c r="U38" s="11"/>
    </row>
    <row r="39" s="1" customFormat="1" spans="1:21">
      <c r="A39" s="2">
        <v>197</v>
      </c>
      <c r="B39" s="2"/>
      <c r="C39" s="2"/>
      <c r="D39" s="2"/>
      <c r="E39" s="2"/>
      <c r="F39" s="2"/>
      <c r="G39" s="2"/>
      <c r="H39" s="11"/>
      <c r="I39" s="11"/>
      <c r="J39" s="11"/>
      <c r="K39" s="11"/>
      <c r="L39" s="11"/>
      <c r="M39" s="11"/>
      <c r="N39" s="11"/>
      <c r="O39" s="11"/>
      <c r="P39" s="11"/>
      <c r="Q39" s="11"/>
      <c r="R39" s="11"/>
      <c r="S39" s="11"/>
      <c r="T39" s="11"/>
      <c r="U39" s="11"/>
    </row>
    <row r="40" s="1" customFormat="1" spans="1:21">
      <c r="A40" s="2">
        <v>203</v>
      </c>
      <c r="B40" s="2"/>
      <c r="C40" s="2"/>
      <c r="D40" s="2"/>
      <c r="E40" s="2"/>
      <c r="F40" s="2"/>
      <c r="G40" s="2"/>
      <c r="H40" s="11"/>
      <c r="I40" s="11"/>
      <c r="J40" s="11"/>
      <c r="K40" s="11"/>
      <c r="L40" s="11"/>
      <c r="M40" s="11"/>
      <c r="N40" s="11"/>
      <c r="O40" s="11"/>
      <c r="P40" s="11"/>
      <c r="Q40" s="11"/>
      <c r="R40" s="11"/>
      <c r="S40" s="11"/>
      <c r="T40" s="11"/>
      <c r="U40" s="11"/>
    </row>
    <row r="41" s="1" customFormat="1" spans="1:21">
      <c r="A41" s="2">
        <v>218</v>
      </c>
      <c r="B41" s="2"/>
      <c r="C41" s="2"/>
      <c r="D41" s="2"/>
      <c r="E41" s="2"/>
      <c r="F41" s="2"/>
      <c r="G41" s="2"/>
      <c r="H41" s="11"/>
      <c r="I41" s="11"/>
      <c r="J41" s="11"/>
      <c r="K41" s="11"/>
      <c r="L41" s="11"/>
      <c r="M41" s="11"/>
      <c r="N41" s="11"/>
      <c r="O41" s="11"/>
      <c r="P41" s="11"/>
      <c r="Q41" s="11"/>
      <c r="R41" s="11"/>
      <c r="S41" s="11"/>
      <c r="T41" s="11"/>
      <c r="U41" s="11"/>
    </row>
    <row r="42" s="1" customFormat="1" spans="1:21">
      <c r="A42" s="2">
        <v>213</v>
      </c>
      <c r="B42" s="2"/>
      <c r="C42" s="2"/>
      <c r="D42" s="2"/>
      <c r="E42" s="2"/>
      <c r="F42" s="2"/>
      <c r="G42" s="2"/>
      <c r="H42" s="11"/>
      <c r="I42" s="11"/>
      <c r="J42" s="11"/>
      <c r="K42" s="11"/>
      <c r="L42" s="11"/>
      <c r="M42" s="11"/>
      <c r="N42" s="11"/>
      <c r="O42" s="11"/>
      <c r="P42" s="11"/>
      <c r="Q42" s="11"/>
      <c r="R42" s="11"/>
      <c r="S42" s="11"/>
      <c r="T42" s="11"/>
      <c r="U42" s="11"/>
    </row>
    <row r="43" s="1" customFormat="1" spans="1:21">
      <c r="A43" s="2">
        <v>304</v>
      </c>
      <c r="B43" s="2"/>
      <c r="C43" s="2"/>
      <c r="D43" s="2"/>
      <c r="E43" s="2"/>
      <c r="F43" s="2"/>
      <c r="G43" s="11"/>
      <c r="H43" s="11"/>
      <c r="I43" s="11"/>
      <c r="J43" s="11"/>
      <c r="K43" s="11"/>
      <c r="L43" s="11"/>
      <c r="M43" s="11"/>
      <c r="N43" s="11"/>
      <c r="O43" s="11"/>
      <c r="P43" s="11"/>
      <c r="Q43" s="11"/>
      <c r="R43" s="11"/>
      <c r="S43" s="11"/>
      <c r="T43" s="2"/>
      <c r="U43" s="2"/>
    </row>
    <row r="44" s="1" customFormat="1" spans="1:21">
      <c r="A44" s="2">
        <v>192</v>
      </c>
      <c r="B44" s="2"/>
      <c r="C44" s="2"/>
      <c r="D44" s="2"/>
      <c r="E44" s="2"/>
      <c r="F44" s="2"/>
      <c r="G44" s="11"/>
      <c r="H44" s="11"/>
      <c r="I44" s="11"/>
      <c r="J44" s="11"/>
      <c r="K44" s="11"/>
      <c r="L44" s="11"/>
      <c r="M44" s="11"/>
      <c r="N44" s="11"/>
      <c r="O44" s="11"/>
      <c r="P44" s="11"/>
      <c r="Q44" s="11"/>
      <c r="R44" s="11"/>
      <c r="S44" s="11"/>
      <c r="T44" s="2"/>
      <c r="U44" s="2"/>
    </row>
    <row r="45" s="1" customFormat="1" spans="1:21">
      <c r="A45" s="2">
        <v>247</v>
      </c>
      <c r="B45" s="2"/>
      <c r="C45" s="2"/>
      <c r="D45" s="2"/>
      <c r="E45" s="2"/>
      <c r="F45" s="2"/>
      <c r="G45" s="2"/>
      <c r="H45" s="11"/>
      <c r="I45" s="11"/>
      <c r="J45" s="11"/>
      <c r="K45" s="11"/>
      <c r="L45" s="11"/>
      <c r="M45" s="11"/>
      <c r="N45" s="11"/>
      <c r="O45" s="11"/>
      <c r="P45" s="11"/>
      <c r="Q45" s="11"/>
      <c r="R45" s="11"/>
      <c r="S45" s="11"/>
      <c r="T45" s="11"/>
      <c r="U45" s="11"/>
    </row>
    <row r="46" s="1" customFormat="1" spans="1:21">
      <c r="A46" s="2">
        <v>199</v>
      </c>
      <c r="B46" s="2"/>
      <c r="C46" s="2"/>
      <c r="D46" s="2"/>
      <c r="E46" s="2"/>
      <c r="F46" s="2"/>
      <c r="G46" s="2"/>
      <c r="H46" s="11"/>
      <c r="I46" s="11"/>
      <c r="J46" s="11"/>
      <c r="K46" s="11"/>
      <c r="L46" s="11"/>
      <c r="M46" s="11"/>
      <c r="N46" s="11"/>
      <c r="O46" s="11"/>
      <c r="P46" s="11"/>
      <c r="Q46" s="11"/>
      <c r="R46" s="11"/>
      <c r="S46" s="11"/>
      <c r="T46" s="11"/>
      <c r="U46" s="11"/>
    </row>
    <row r="47" s="1" customFormat="1" spans="1:21">
      <c r="A47" s="2">
        <v>199</v>
      </c>
      <c r="B47" s="2"/>
      <c r="C47" s="2"/>
      <c r="D47" s="2"/>
      <c r="E47" s="2"/>
      <c r="F47" s="2"/>
      <c r="G47" s="2"/>
      <c r="H47" s="11"/>
      <c r="I47" s="11"/>
      <c r="J47" s="11"/>
      <c r="K47" s="11"/>
      <c r="L47" s="11"/>
      <c r="M47" s="11"/>
      <c r="N47" s="11"/>
      <c r="O47" s="11"/>
      <c r="P47" s="11"/>
      <c r="Q47" s="11"/>
      <c r="R47" s="11"/>
      <c r="S47" s="11"/>
      <c r="T47" s="11"/>
      <c r="U47" s="11"/>
    </row>
    <row r="48" s="1" customFormat="1" spans="1:21">
      <c r="A48" s="2">
        <v>202</v>
      </c>
      <c r="B48" s="2"/>
      <c r="C48" s="2"/>
      <c r="D48" s="2"/>
      <c r="E48" s="2"/>
      <c r="F48" s="2"/>
      <c r="G48" s="2"/>
      <c r="H48" s="11"/>
      <c r="I48" s="11"/>
      <c r="J48" s="11"/>
      <c r="K48" s="11"/>
      <c r="L48" s="11"/>
      <c r="M48" s="11"/>
      <c r="N48" s="11"/>
      <c r="O48" s="11"/>
      <c r="P48" s="11"/>
      <c r="Q48" s="11"/>
      <c r="R48" s="11"/>
      <c r="S48" s="11"/>
      <c r="T48" s="11"/>
      <c r="U48" s="11"/>
    </row>
    <row r="49" s="1" customFormat="1" spans="1:21">
      <c r="A49" s="2">
        <v>188</v>
      </c>
      <c r="B49" s="2"/>
      <c r="C49" s="2"/>
      <c r="D49" s="2"/>
      <c r="E49" s="2"/>
      <c r="F49" s="2"/>
      <c r="G49" s="2"/>
      <c r="H49" s="11"/>
      <c r="I49" s="11"/>
      <c r="J49" s="11"/>
      <c r="K49" s="11"/>
      <c r="L49" s="11"/>
      <c r="M49" s="11"/>
      <c r="N49" s="11"/>
      <c r="O49" s="11"/>
      <c r="P49" s="11"/>
      <c r="Q49" s="11"/>
      <c r="R49" s="11"/>
      <c r="S49" s="11"/>
      <c r="T49" s="11"/>
      <c r="U49" s="11"/>
    </row>
    <row r="50" s="1" customFormat="1" spans="1:21">
      <c r="A50" s="2">
        <v>200</v>
      </c>
      <c r="B50" s="2"/>
      <c r="C50" s="2"/>
      <c r="D50" s="2"/>
      <c r="E50" s="2"/>
      <c r="F50" s="2"/>
      <c r="G50" s="2"/>
      <c r="H50" s="11"/>
      <c r="I50" s="11"/>
      <c r="J50" s="11"/>
      <c r="K50" s="11"/>
      <c r="L50" s="11"/>
      <c r="M50" s="11"/>
      <c r="N50" s="11"/>
      <c r="O50" s="11"/>
      <c r="P50" s="11"/>
      <c r="Q50" s="11"/>
      <c r="R50" s="11"/>
      <c r="S50" s="11"/>
      <c r="T50" s="11"/>
      <c r="U50" s="11"/>
    </row>
    <row r="51" s="1" customFormat="1" spans="1:21">
      <c r="A51" s="2">
        <v>160</v>
      </c>
      <c r="B51" s="2"/>
      <c r="C51" s="2"/>
      <c r="D51" s="2"/>
      <c r="E51" s="2"/>
      <c r="F51" s="2"/>
      <c r="G51" s="2"/>
      <c r="H51" s="11"/>
      <c r="I51" s="11"/>
      <c r="J51" s="11"/>
      <c r="K51" s="11"/>
      <c r="L51" s="11"/>
      <c r="M51" s="11"/>
      <c r="N51" s="11"/>
      <c r="O51" s="11"/>
      <c r="P51" s="11"/>
      <c r="Q51" s="11"/>
      <c r="R51" s="11"/>
      <c r="S51" s="11"/>
      <c r="T51" s="11"/>
      <c r="U51" s="11"/>
    </row>
    <row r="52" s="1" customFormat="1" spans="1:21">
      <c r="A52" s="2">
        <v>320</v>
      </c>
      <c r="B52" s="2"/>
      <c r="C52" s="2"/>
      <c r="D52" s="2"/>
      <c r="E52" s="2"/>
      <c r="F52" s="2"/>
      <c r="G52" s="2"/>
      <c r="H52" s="11"/>
      <c r="I52" s="11"/>
      <c r="J52" s="11"/>
      <c r="K52" s="11"/>
      <c r="L52" s="11"/>
      <c r="M52" s="11"/>
      <c r="N52" s="11"/>
      <c r="O52" s="11"/>
      <c r="P52" s="11"/>
      <c r="Q52" s="11"/>
      <c r="R52" s="11"/>
      <c r="S52" s="11"/>
      <c r="T52" s="11"/>
      <c r="U52" s="11"/>
    </row>
    <row r="53" s="1" customFormat="1" spans="1:21">
      <c r="A53" s="2">
        <v>290</v>
      </c>
      <c r="B53" s="2"/>
      <c r="C53" s="2"/>
      <c r="D53" s="2"/>
      <c r="E53" s="2"/>
      <c r="F53" s="2"/>
      <c r="G53" s="2"/>
      <c r="H53" s="11"/>
      <c r="I53" s="11"/>
      <c r="J53" s="11"/>
      <c r="K53" s="11"/>
      <c r="L53" s="11"/>
      <c r="M53" s="11"/>
      <c r="N53" s="11"/>
      <c r="O53" s="11"/>
      <c r="P53" s="11"/>
      <c r="Q53" s="11"/>
      <c r="R53" s="11"/>
      <c r="S53" s="11"/>
      <c r="T53" s="11"/>
      <c r="U53" s="11"/>
    </row>
    <row r="54" s="1" customFormat="1" spans="1:21">
      <c r="A54" s="2">
        <v>216</v>
      </c>
      <c r="B54" s="2"/>
      <c r="C54" s="2"/>
      <c r="D54" s="2"/>
      <c r="E54" s="2"/>
      <c r="F54" s="2"/>
      <c r="G54" s="2"/>
      <c r="H54" s="11"/>
      <c r="I54" s="11"/>
      <c r="J54" s="11"/>
      <c r="K54" s="11"/>
      <c r="L54" s="11"/>
      <c r="M54" s="11"/>
      <c r="N54" s="11"/>
      <c r="O54" s="11"/>
      <c r="P54" s="11"/>
      <c r="Q54" s="11"/>
      <c r="R54" s="11"/>
      <c r="S54" s="11"/>
      <c r="T54" s="11"/>
      <c r="U54" s="11"/>
    </row>
    <row r="55" s="1" customFormat="1" spans="1:21">
      <c r="A55" s="2">
        <v>185</v>
      </c>
      <c r="B55" s="2"/>
      <c r="C55" s="2"/>
      <c r="D55" s="2"/>
      <c r="E55" s="2"/>
      <c r="F55" s="2"/>
      <c r="G55" s="2"/>
      <c r="H55" s="11"/>
      <c r="I55" s="11"/>
      <c r="J55" s="11"/>
      <c r="K55" s="11"/>
      <c r="L55" s="11"/>
      <c r="M55" s="11"/>
      <c r="N55" s="11"/>
      <c r="O55" s="11"/>
      <c r="P55" s="11"/>
      <c r="Q55" s="11"/>
      <c r="R55" s="11"/>
      <c r="S55" s="11"/>
      <c r="T55" s="11"/>
      <c r="U55" s="11"/>
    </row>
    <row r="56" s="1" customFormat="1" spans="1:21">
      <c r="A56" s="2">
        <v>224</v>
      </c>
      <c r="B56" s="2"/>
      <c r="C56" s="2"/>
      <c r="D56" s="2"/>
      <c r="E56" s="2"/>
      <c r="F56" s="2"/>
      <c r="G56" s="2"/>
      <c r="H56" s="2"/>
      <c r="I56" s="2"/>
      <c r="J56" s="2"/>
      <c r="K56" s="2"/>
      <c r="L56" s="2"/>
      <c r="M56" s="2"/>
      <c r="N56" s="2"/>
      <c r="O56" s="2"/>
      <c r="P56" s="2"/>
      <c r="Q56" s="2"/>
      <c r="R56" s="2"/>
      <c r="S56" s="2"/>
      <c r="T56" s="2"/>
      <c r="U56" s="2"/>
    </row>
    <row r="57" s="1" customFormat="1" spans="1:21">
      <c r="A57" s="2">
        <v>198</v>
      </c>
      <c r="B57" s="2"/>
      <c r="C57" s="2"/>
      <c r="D57" s="2"/>
      <c r="E57" s="2"/>
      <c r="F57" s="2"/>
      <c r="G57" s="2"/>
      <c r="H57" s="2"/>
      <c r="I57" s="2"/>
      <c r="J57" s="2"/>
      <c r="K57" s="2"/>
      <c r="L57" s="2"/>
      <c r="M57" s="2"/>
      <c r="N57" s="2"/>
      <c r="O57" s="2"/>
      <c r="P57" s="2"/>
      <c r="Q57" s="2"/>
      <c r="R57" s="2"/>
      <c r="S57" s="2"/>
      <c r="T57" s="2"/>
      <c r="U57" s="2"/>
    </row>
    <row r="58" s="1" customFormat="1" spans="1:21">
      <c r="A58" s="2">
        <v>195</v>
      </c>
      <c r="B58" s="2"/>
      <c r="C58" s="2"/>
      <c r="D58" s="2"/>
      <c r="E58" s="2"/>
      <c r="F58" s="2"/>
      <c r="G58" s="2"/>
      <c r="H58" s="2"/>
      <c r="I58" s="2"/>
      <c r="J58" s="2"/>
      <c r="K58" s="2"/>
      <c r="L58" s="2"/>
      <c r="M58" s="2"/>
      <c r="N58" s="2"/>
      <c r="O58" s="2"/>
      <c r="P58" s="2"/>
      <c r="Q58" s="2"/>
      <c r="R58" s="2"/>
      <c r="S58" s="2"/>
      <c r="T58" s="2"/>
      <c r="U58" s="2"/>
    </row>
    <row r="59" s="1" customFormat="1" spans="1:21">
      <c r="A59" s="2">
        <v>296</v>
      </c>
      <c r="B59" s="2"/>
      <c r="C59" s="2"/>
      <c r="D59" s="2"/>
      <c r="E59" s="2"/>
      <c r="F59" s="2"/>
      <c r="G59" s="2"/>
      <c r="H59" s="2"/>
      <c r="I59" s="2"/>
      <c r="J59" s="2"/>
      <c r="K59" s="2"/>
      <c r="L59" s="2"/>
      <c r="M59" s="2"/>
      <c r="N59" s="2"/>
      <c r="O59" s="2"/>
      <c r="P59" s="2"/>
      <c r="Q59" s="2"/>
      <c r="R59" s="2"/>
      <c r="S59" s="2"/>
      <c r="T59" s="2"/>
      <c r="U59" s="2"/>
    </row>
    <row r="60" s="1" customFormat="1" spans="1:21">
      <c r="A60" s="2">
        <v>211</v>
      </c>
      <c r="B60" s="2"/>
      <c r="C60" s="2"/>
      <c r="D60" s="2"/>
      <c r="E60" s="2"/>
      <c r="F60" s="2"/>
      <c r="G60" s="2"/>
      <c r="H60" s="2"/>
      <c r="I60" s="2"/>
      <c r="J60" s="2"/>
      <c r="K60" s="2"/>
      <c r="L60" s="2"/>
      <c r="M60" s="2"/>
      <c r="N60" s="2"/>
      <c r="O60" s="2"/>
      <c r="P60" s="2"/>
      <c r="Q60" s="2"/>
      <c r="R60" s="2"/>
      <c r="S60" s="2"/>
      <c r="T60" s="2"/>
      <c r="U60" s="2"/>
    </row>
    <row r="61" s="1" customFormat="1" spans="1:21">
      <c r="A61" s="2">
        <v>249</v>
      </c>
      <c r="B61" s="2"/>
      <c r="C61" s="2"/>
      <c r="D61" s="2"/>
      <c r="E61" s="2"/>
      <c r="F61" s="2"/>
      <c r="G61" s="2"/>
      <c r="H61" s="2"/>
      <c r="I61" s="2"/>
      <c r="J61" s="2"/>
      <c r="K61" s="2"/>
      <c r="L61" s="2"/>
      <c r="M61" s="2"/>
      <c r="N61" s="2"/>
      <c r="O61" s="2"/>
      <c r="P61" s="2"/>
      <c r="Q61" s="2"/>
      <c r="R61" s="2"/>
      <c r="S61" s="2"/>
      <c r="T61" s="2"/>
      <c r="U61" s="2"/>
    </row>
    <row r="62" s="1" customFormat="1" spans="1:21">
      <c r="A62" s="2">
        <v>207</v>
      </c>
      <c r="B62" s="2"/>
      <c r="C62" s="2"/>
      <c r="D62" s="2"/>
      <c r="E62" s="2"/>
      <c r="F62" s="2"/>
      <c r="G62" s="2"/>
      <c r="H62" s="2"/>
      <c r="I62" s="2"/>
      <c r="J62" s="2"/>
      <c r="K62" s="2"/>
      <c r="L62" s="2"/>
      <c r="M62" s="2"/>
      <c r="N62" s="2"/>
      <c r="O62" s="2"/>
      <c r="P62" s="2"/>
      <c r="Q62" s="2"/>
      <c r="R62" s="2"/>
      <c r="S62" s="2"/>
      <c r="T62" s="2"/>
      <c r="U62" s="2"/>
    </row>
    <row r="63" s="1" customFormat="1" spans="1:21">
      <c r="A63" s="2">
        <v>263</v>
      </c>
      <c r="B63" s="2"/>
      <c r="C63" s="2"/>
      <c r="D63" s="2"/>
      <c r="E63" s="2"/>
      <c r="F63" s="2"/>
      <c r="G63" s="2"/>
      <c r="H63" s="2"/>
      <c r="I63" s="2"/>
      <c r="J63" s="2"/>
      <c r="K63" s="2"/>
      <c r="L63" s="2"/>
      <c r="M63" s="2"/>
      <c r="N63" s="2"/>
      <c r="O63" s="2"/>
      <c r="P63" s="2"/>
      <c r="Q63" s="2"/>
      <c r="R63" s="2"/>
      <c r="S63" s="2"/>
      <c r="T63" s="2"/>
      <c r="U63" s="2"/>
    </row>
    <row r="64" s="1" customFormat="1" spans="1:21">
      <c r="A64" s="2">
        <v>226</v>
      </c>
      <c r="B64" s="2"/>
      <c r="C64" s="2"/>
      <c r="D64" s="2"/>
      <c r="E64" s="2"/>
      <c r="F64" s="2"/>
      <c r="G64" s="2"/>
      <c r="H64" s="2"/>
      <c r="I64" s="2"/>
      <c r="J64" s="2"/>
      <c r="K64" s="2"/>
      <c r="L64" s="2"/>
      <c r="M64" s="2"/>
      <c r="N64" s="2"/>
      <c r="O64" s="2"/>
      <c r="P64" s="2"/>
      <c r="Q64" s="2"/>
      <c r="R64" s="2"/>
      <c r="S64" s="2"/>
      <c r="T64" s="2"/>
      <c r="U64" s="2"/>
    </row>
    <row r="65" s="1" customFormat="1" spans="1:21">
      <c r="A65" s="2">
        <v>218</v>
      </c>
      <c r="B65" s="2"/>
      <c r="C65" s="2"/>
      <c r="D65" s="2"/>
      <c r="E65" s="2"/>
      <c r="F65" s="2"/>
      <c r="G65" s="2"/>
      <c r="H65" s="2"/>
      <c r="I65" s="2"/>
      <c r="J65" s="2"/>
      <c r="K65" s="2"/>
      <c r="L65" s="2"/>
      <c r="M65" s="2"/>
      <c r="N65" s="2"/>
      <c r="O65" s="2"/>
      <c r="P65" s="2"/>
      <c r="Q65" s="2"/>
      <c r="R65" s="2"/>
      <c r="S65" s="2"/>
      <c r="T65" s="2"/>
      <c r="U65" s="2"/>
    </row>
    <row r="66" s="1" customFormat="1" spans="1:21">
      <c r="A66" s="2">
        <v>259</v>
      </c>
      <c r="B66" s="2"/>
      <c r="C66" s="2"/>
      <c r="D66" s="2"/>
      <c r="E66" s="2"/>
      <c r="F66" s="2"/>
      <c r="G66" s="2"/>
      <c r="H66" s="2"/>
      <c r="I66" s="2"/>
      <c r="J66" s="2"/>
      <c r="K66" s="2"/>
      <c r="L66" s="2"/>
      <c r="M66" s="2"/>
      <c r="N66" s="2"/>
      <c r="O66" s="2"/>
      <c r="P66" s="2"/>
      <c r="Q66" s="2"/>
      <c r="R66" s="2"/>
      <c r="S66" s="2"/>
      <c r="T66" s="2"/>
      <c r="U66" s="2"/>
    </row>
    <row r="67" s="1" customFormat="1" spans="1:21">
      <c r="A67" s="2">
        <v>181</v>
      </c>
      <c r="B67" s="2"/>
      <c r="C67" s="2"/>
      <c r="D67" s="2"/>
      <c r="E67" s="2"/>
      <c r="F67" s="2"/>
      <c r="G67" s="2"/>
      <c r="H67" s="2"/>
      <c r="I67" s="2"/>
      <c r="J67" s="2"/>
      <c r="K67" s="2"/>
      <c r="L67" s="2"/>
      <c r="M67" s="2"/>
      <c r="N67" s="2"/>
      <c r="O67" s="2"/>
      <c r="P67" s="2"/>
      <c r="Q67" s="2"/>
      <c r="R67" s="2"/>
      <c r="S67" s="2"/>
      <c r="T67" s="2"/>
      <c r="U67" s="2"/>
    </row>
    <row r="68" s="1" customFormat="1" spans="1:21">
      <c r="A68" s="2">
        <v>250</v>
      </c>
      <c r="B68" s="2"/>
      <c r="C68" s="2"/>
      <c r="D68" s="2"/>
      <c r="E68" s="2"/>
      <c r="F68" s="2"/>
      <c r="G68" s="2"/>
      <c r="H68" s="2"/>
      <c r="I68" s="2"/>
      <c r="J68" s="2"/>
      <c r="K68" s="2"/>
      <c r="L68" s="2"/>
      <c r="M68" s="2"/>
      <c r="N68" s="2"/>
      <c r="O68" s="2"/>
      <c r="P68" s="2"/>
      <c r="Q68" s="2"/>
      <c r="R68" s="2"/>
      <c r="S68" s="2"/>
      <c r="T68" s="2"/>
      <c r="U68" s="2"/>
    </row>
    <row r="69" s="1" customFormat="1" spans="1:21">
      <c r="A69" s="2">
        <v>198</v>
      </c>
      <c r="B69" s="2"/>
      <c r="C69" s="2"/>
      <c r="D69" s="2"/>
      <c r="E69" s="2"/>
      <c r="F69" s="2"/>
      <c r="G69" s="2"/>
      <c r="H69" s="2"/>
      <c r="I69" s="2"/>
      <c r="J69" s="2"/>
      <c r="K69" s="2"/>
      <c r="L69" s="2"/>
      <c r="M69" s="2"/>
      <c r="N69" s="2"/>
      <c r="O69" s="2"/>
      <c r="P69" s="2"/>
      <c r="Q69" s="2"/>
      <c r="R69" s="2"/>
      <c r="S69" s="2"/>
      <c r="T69" s="2"/>
      <c r="U69" s="2"/>
    </row>
    <row r="70" s="1" customFormat="1" spans="1:21">
      <c r="A70" s="2">
        <v>181</v>
      </c>
      <c r="B70" s="2"/>
      <c r="C70" s="2"/>
      <c r="D70" s="2"/>
      <c r="E70" s="2"/>
      <c r="F70" s="2"/>
      <c r="G70" s="2"/>
      <c r="H70" s="2"/>
      <c r="I70" s="2"/>
      <c r="J70" s="2"/>
      <c r="K70" s="2"/>
      <c r="L70" s="2"/>
      <c r="M70" s="2"/>
      <c r="N70" s="2"/>
      <c r="O70" s="2"/>
      <c r="P70" s="2"/>
      <c r="Q70" s="2"/>
      <c r="R70" s="2"/>
      <c r="S70" s="2"/>
      <c r="T70" s="2"/>
      <c r="U70" s="2"/>
    </row>
    <row r="71" s="1" customFormat="1" spans="1:21">
      <c r="A71" s="2">
        <v>195</v>
      </c>
      <c r="B71" s="2"/>
      <c r="C71" s="2"/>
      <c r="D71" s="2"/>
      <c r="E71" s="2"/>
      <c r="F71" s="2"/>
      <c r="G71" s="2"/>
      <c r="H71" s="2"/>
      <c r="I71" s="2"/>
      <c r="J71" s="2"/>
      <c r="K71" s="2"/>
      <c r="L71" s="2"/>
      <c r="M71" s="2"/>
      <c r="N71" s="2"/>
      <c r="O71" s="2"/>
      <c r="P71" s="2"/>
      <c r="Q71" s="2"/>
      <c r="R71" s="2"/>
      <c r="S71" s="2"/>
      <c r="T71" s="2"/>
      <c r="U71" s="2"/>
    </row>
    <row r="72" s="1" customFormat="1" spans="1:21">
      <c r="A72" s="2">
        <v>225</v>
      </c>
      <c r="B72" s="2"/>
      <c r="C72" s="2"/>
      <c r="D72" s="2"/>
      <c r="E72" s="2"/>
      <c r="F72" s="2"/>
      <c r="G72" s="2"/>
      <c r="H72" s="2"/>
      <c r="I72" s="2"/>
      <c r="J72" s="2"/>
      <c r="K72" s="2"/>
      <c r="L72" s="2"/>
      <c r="M72" s="2"/>
      <c r="N72" s="2"/>
      <c r="O72" s="2"/>
      <c r="P72" s="2"/>
      <c r="Q72" s="2"/>
      <c r="R72" s="2"/>
      <c r="S72" s="2"/>
      <c r="T72" s="2"/>
      <c r="U72" s="2"/>
    </row>
    <row r="73" s="1" customFormat="1" spans="1:21">
      <c r="A73" s="2">
        <v>206</v>
      </c>
      <c r="B73" s="2"/>
      <c r="C73" s="2"/>
      <c r="D73" s="2"/>
      <c r="E73" s="2"/>
      <c r="F73" s="2"/>
      <c r="G73" s="2"/>
      <c r="H73" s="2"/>
      <c r="I73" s="2"/>
      <c r="J73" s="2"/>
      <c r="K73" s="2"/>
      <c r="L73" s="2"/>
      <c r="M73" s="2"/>
      <c r="N73" s="2"/>
      <c r="O73" s="2"/>
      <c r="P73" s="2"/>
      <c r="Q73" s="2"/>
      <c r="R73" s="2"/>
      <c r="S73" s="2"/>
      <c r="T73" s="2"/>
      <c r="U73" s="2"/>
    </row>
    <row r="74" s="1" customFormat="1" spans="1:21">
      <c r="A74" s="2">
        <v>286</v>
      </c>
      <c r="B74" s="2"/>
      <c r="C74" s="2"/>
      <c r="D74" s="2"/>
      <c r="E74" s="2"/>
      <c r="F74" s="2"/>
      <c r="G74" s="2"/>
      <c r="H74" s="2"/>
      <c r="I74" s="2"/>
      <c r="J74" s="2"/>
      <c r="K74" s="2"/>
      <c r="L74" s="2"/>
      <c r="M74" s="2"/>
      <c r="N74" s="2"/>
      <c r="O74" s="2"/>
      <c r="P74" s="2"/>
      <c r="Q74" s="2"/>
      <c r="R74" s="2"/>
      <c r="S74" s="2"/>
      <c r="T74" s="2"/>
      <c r="U74" s="2"/>
    </row>
    <row r="75" s="1" customFormat="1" spans="1:21">
      <c r="A75" s="2">
        <v>294</v>
      </c>
      <c r="B75" s="2"/>
      <c r="C75" s="2"/>
      <c r="D75" s="2"/>
      <c r="E75" s="2"/>
      <c r="F75" s="2"/>
      <c r="G75" s="2"/>
      <c r="H75" s="2"/>
      <c r="I75" s="2"/>
      <c r="J75" s="2"/>
      <c r="K75" s="2"/>
      <c r="L75" s="2"/>
      <c r="M75" s="2"/>
      <c r="N75" s="2"/>
      <c r="O75" s="2"/>
      <c r="P75" s="2"/>
      <c r="Q75" s="2"/>
      <c r="R75" s="2"/>
      <c r="S75" s="2"/>
      <c r="T75" s="2"/>
      <c r="U75" s="2"/>
    </row>
    <row r="76" s="1" customFormat="1" spans="1:21">
      <c r="A76" s="2">
        <v>247</v>
      </c>
      <c r="B76" s="2"/>
      <c r="C76" s="2"/>
      <c r="D76" s="2"/>
      <c r="E76" s="2"/>
      <c r="F76" s="2"/>
      <c r="G76" s="2"/>
      <c r="H76" s="2"/>
      <c r="I76" s="2"/>
      <c r="J76" s="2"/>
      <c r="K76" s="2"/>
      <c r="L76" s="2"/>
      <c r="M76" s="2"/>
      <c r="N76" s="2"/>
      <c r="O76" s="2"/>
      <c r="P76" s="2"/>
      <c r="Q76" s="2"/>
      <c r="R76" s="2"/>
      <c r="S76" s="2"/>
      <c r="T76" s="2"/>
      <c r="U76" s="2"/>
    </row>
    <row r="77" s="1" customFormat="1" spans="1:21">
      <c r="A77" s="2">
        <v>285</v>
      </c>
      <c r="B77" s="2"/>
      <c r="C77" s="2"/>
      <c r="D77" s="2"/>
      <c r="E77" s="2"/>
      <c r="F77" s="2"/>
      <c r="G77" s="2"/>
      <c r="H77" s="2"/>
      <c r="I77" s="2"/>
      <c r="J77" s="2"/>
      <c r="K77" s="2"/>
      <c r="L77" s="2"/>
      <c r="M77" s="2"/>
      <c r="N77" s="2"/>
      <c r="O77" s="2"/>
      <c r="P77" s="2"/>
      <c r="Q77" s="2"/>
      <c r="R77" s="2"/>
      <c r="S77" s="2"/>
      <c r="T77" s="2"/>
      <c r="U77" s="2"/>
    </row>
    <row r="78" s="1" customFormat="1" spans="1:21">
      <c r="A78" s="2">
        <v>237</v>
      </c>
      <c r="B78" s="2"/>
      <c r="C78" s="2"/>
      <c r="D78" s="2"/>
      <c r="E78" s="2"/>
      <c r="F78" s="2"/>
      <c r="G78" s="2"/>
      <c r="H78" s="2"/>
      <c r="I78" s="2"/>
      <c r="J78" s="2"/>
      <c r="K78" s="2"/>
      <c r="L78" s="2"/>
      <c r="M78" s="2"/>
      <c r="N78" s="2"/>
      <c r="O78" s="2"/>
      <c r="P78" s="2"/>
      <c r="Q78" s="2"/>
      <c r="R78" s="2"/>
      <c r="S78" s="2"/>
      <c r="T78" s="2"/>
      <c r="U78" s="2"/>
    </row>
    <row r="79" s="1" customFormat="1" spans="1:21">
      <c r="A79" s="2">
        <v>209</v>
      </c>
      <c r="B79" s="2"/>
      <c r="C79" s="2"/>
      <c r="D79" s="2"/>
      <c r="E79" s="2"/>
      <c r="F79" s="2"/>
      <c r="G79" s="2"/>
      <c r="H79" s="2"/>
      <c r="I79" s="2"/>
      <c r="J79" s="2"/>
      <c r="K79" s="2"/>
      <c r="L79" s="2"/>
      <c r="M79" s="2"/>
      <c r="N79" s="2"/>
      <c r="O79" s="2"/>
      <c r="P79" s="2"/>
      <c r="Q79" s="2"/>
      <c r="R79" s="2"/>
      <c r="S79" s="2"/>
      <c r="T79" s="2"/>
      <c r="U79" s="2"/>
    </row>
    <row r="80" s="1" customFormat="1" spans="1:21">
      <c r="A80" s="2">
        <v>309</v>
      </c>
      <c r="B80" s="2"/>
      <c r="C80" s="2"/>
      <c r="D80" s="2"/>
      <c r="E80" s="2"/>
      <c r="F80" s="2"/>
      <c r="G80" s="2"/>
      <c r="H80" s="2"/>
      <c r="I80" s="2"/>
      <c r="J80" s="2"/>
      <c r="K80" s="2"/>
      <c r="L80" s="2"/>
      <c r="M80" s="2"/>
      <c r="N80" s="2"/>
      <c r="O80" s="2"/>
      <c r="P80" s="2"/>
      <c r="Q80" s="2"/>
      <c r="R80" s="2"/>
      <c r="S80" s="2"/>
      <c r="T80" s="2"/>
      <c r="U80" s="2"/>
    </row>
    <row r="81" s="1" customFormat="1" spans="1:21">
      <c r="A81" s="2">
        <v>231</v>
      </c>
      <c r="B81" s="2"/>
      <c r="C81" s="2"/>
      <c r="D81" s="2"/>
      <c r="E81" s="2"/>
      <c r="F81" s="2"/>
      <c r="G81" s="2"/>
      <c r="H81" s="2"/>
      <c r="I81" s="2"/>
      <c r="J81" s="2"/>
      <c r="K81" s="2"/>
      <c r="L81" s="2"/>
      <c r="M81" s="2"/>
      <c r="N81" s="2"/>
      <c r="O81" s="2"/>
      <c r="P81" s="2"/>
      <c r="Q81" s="2"/>
      <c r="R81" s="2"/>
      <c r="S81" s="2"/>
      <c r="T81" s="2"/>
      <c r="U81" s="2"/>
    </row>
    <row r="82" s="1" customFormat="1" spans="1:21">
      <c r="A82" s="2">
        <v>282</v>
      </c>
      <c r="B82" s="2"/>
      <c r="C82" s="2"/>
      <c r="D82" s="2"/>
      <c r="E82" s="2"/>
      <c r="F82" s="2"/>
      <c r="G82" s="2"/>
      <c r="H82" s="2"/>
      <c r="I82" s="2"/>
      <c r="J82" s="2"/>
      <c r="K82" s="2"/>
      <c r="L82" s="2"/>
      <c r="M82" s="2"/>
      <c r="N82" s="2"/>
      <c r="O82" s="2"/>
      <c r="P82" s="2"/>
      <c r="Q82" s="2"/>
      <c r="R82" s="2"/>
      <c r="S82" s="2"/>
      <c r="T82" s="2"/>
      <c r="U82" s="2"/>
    </row>
    <row r="83" s="1" customFormat="1" spans="1:21">
      <c r="A83" s="2">
        <v>299</v>
      </c>
      <c r="B83" s="2"/>
      <c r="C83" s="2"/>
      <c r="D83" s="2"/>
      <c r="E83" s="2"/>
      <c r="F83" s="2"/>
      <c r="G83" s="2"/>
      <c r="H83" s="2"/>
      <c r="I83" s="2"/>
      <c r="J83" s="2"/>
      <c r="K83" s="2"/>
      <c r="L83" s="2"/>
      <c r="M83" s="2"/>
      <c r="N83" s="2"/>
      <c r="O83" s="2"/>
      <c r="P83" s="2"/>
      <c r="Q83" s="2"/>
      <c r="R83" s="2"/>
      <c r="S83" s="2"/>
      <c r="T83" s="2"/>
      <c r="U83" s="2"/>
    </row>
    <row r="84" s="1" customFormat="1" spans="1:21">
      <c r="A84" s="2">
        <v>308</v>
      </c>
      <c r="B84" s="2"/>
      <c r="C84" s="2"/>
      <c r="D84" s="2"/>
      <c r="E84" s="2"/>
      <c r="F84" s="2"/>
      <c r="G84" s="2"/>
      <c r="H84" s="2"/>
      <c r="I84" s="2"/>
      <c r="J84" s="2"/>
      <c r="K84" s="2"/>
      <c r="L84" s="2"/>
      <c r="M84" s="2"/>
      <c r="N84" s="2"/>
      <c r="O84" s="2"/>
      <c r="P84" s="2"/>
      <c r="Q84" s="2"/>
      <c r="R84" s="2"/>
      <c r="S84" s="2"/>
      <c r="T84" s="2"/>
      <c r="U84" s="2"/>
    </row>
    <row r="85" s="1" customFormat="1" spans="1:21">
      <c r="A85" s="2">
        <v>284</v>
      </c>
      <c r="B85" s="2"/>
      <c r="C85" s="2"/>
      <c r="D85" s="2"/>
      <c r="E85" s="2"/>
      <c r="F85" s="2"/>
      <c r="G85" s="2"/>
      <c r="H85" s="2"/>
      <c r="I85" s="2"/>
      <c r="J85" s="2"/>
      <c r="K85" s="2"/>
      <c r="L85" s="2"/>
      <c r="M85" s="2"/>
      <c r="N85" s="2"/>
      <c r="O85" s="2"/>
      <c r="P85" s="2"/>
      <c r="Q85" s="2"/>
      <c r="R85" s="2"/>
      <c r="S85" s="2"/>
      <c r="T85" s="2"/>
      <c r="U85" s="2"/>
    </row>
    <row r="86" s="1" customFormat="1" spans="1:21">
      <c r="A86" s="2">
        <v>181</v>
      </c>
      <c r="B86" s="2"/>
      <c r="C86" s="2"/>
      <c r="D86" s="2"/>
      <c r="E86" s="2"/>
      <c r="F86" s="2"/>
      <c r="G86" s="2"/>
      <c r="H86" s="2"/>
      <c r="I86" s="2"/>
      <c r="J86" s="2"/>
      <c r="K86" s="2"/>
      <c r="L86" s="2"/>
      <c r="M86" s="2"/>
      <c r="N86" s="2"/>
      <c r="O86" s="2"/>
      <c r="P86" s="2"/>
      <c r="Q86" s="2"/>
      <c r="R86" s="2"/>
      <c r="S86" s="2"/>
      <c r="T86" s="2"/>
      <c r="U86" s="2"/>
    </row>
    <row r="87" s="1" customFormat="1" spans="1:21">
      <c r="A87" s="2">
        <v>314</v>
      </c>
      <c r="B87" s="2"/>
      <c r="C87" s="2"/>
      <c r="D87" s="2"/>
      <c r="E87" s="2"/>
      <c r="F87" s="2"/>
      <c r="G87" s="2"/>
      <c r="H87" s="2"/>
      <c r="I87" s="2"/>
      <c r="J87" s="2"/>
      <c r="K87" s="2"/>
      <c r="L87" s="2"/>
      <c r="M87" s="2"/>
      <c r="N87" s="2"/>
      <c r="O87" s="2"/>
      <c r="P87" s="2"/>
      <c r="Q87" s="2"/>
      <c r="R87" s="2"/>
      <c r="S87" s="2"/>
      <c r="T87" s="2"/>
      <c r="U87" s="2"/>
    </row>
    <row r="88" s="1" customFormat="1" spans="1:21">
      <c r="A88" s="2">
        <v>311</v>
      </c>
      <c r="B88" s="2"/>
      <c r="C88" s="2"/>
      <c r="D88" s="2"/>
      <c r="E88" s="2"/>
      <c r="F88" s="2"/>
      <c r="G88" s="2"/>
      <c r="H88" s="2"/>
      <c r="I88" s="2"/>
      <c r="J88" s="2"/>
      <c r="K88" s="2"/>
      <c r="L88" s="2"/>
      <c r="M88" s="2"/>
      <c r="N88" s="2"/>
      <c r="O88" s="2"/>
      <c r="P88" s="2"/>
      <c r="Q88" s="2"/>
      <c r="R88" s="2"/>
      <c r="S88" s="2"/>
      <c r="T88" s="2"/>
      <c r="U88" s="2"/>
    </row>
    <row r="89" s="1" customFormat="1" spans="1:21">
      <c r="A89" s="2">
        <v>237</v>
      </c>
      <c r="B89" s="2"/>
      <c r="C89" s="2"/>
      <c r="D89" s="2"/>
      <c r="E89" s="2"/>
      <c r="F89" s="2"/>
      <c r="G89" s="2"/>
      <c r="H89" s="2"/>
      <c r="I89" s="2"/>
      <c r="J89" s="2"/>
      <c r="K89" s="2"/>
      <c r="L89" s="2"/>
      <c r="M89" s="2"/>
      <c r="N89" s="2"/>
      <c r="O89" s="2"/>
      <c r="P89" s="2"/>
      <c r="Q89" s="2"/>
      <c r="R89" s="2"/>
      <c r="S89" s="2"/>
      <c r="T89" s="2"/>
      <c r="U89" s="2"/>
    </row>
    <row r="90" s="1" customFormat="1" spans="1:21">
      <c r="A90" s="2">
        <v>205</v>
      </c>
      <c r="B90" s="2"/>
      <c r="C90" s="2"/>
      <c r="D90" s="2"/>
      <c r="E90" s="2"/>
      <c r="F90" s="2"/>
      <c r="G90" s="2"/>
      <c r="H90" s="2"/>
      <c r="I90" s="2"/>
      <c r="J90" s="2"/>
      <c r="K90" s="2"/>
      <c r="L90" s="2"/>
      <c r="M90" s="2"/>
      <c r="N90" s="2"/>
      <c r="O90" s="2"/>
      <c r="P90" s="2"/>
      <c r="Q90" s="2"/>
      <c r="R90" s="2"/>
      <c r="S90" s="2"/>
      <c r="T90" s="2"/>
      <c r="U90" s="2"/>
    </row>
    <row r="91" s="1" customFormat="1" spans="1:21">
      <c r="A91" s="2">
        <v>286</v>
      </c>
      <c r="B91" s="2"/>
      <c r="C91" s="2"/>
      <c r="D91" s="2"/>
      <c r="E91" s="2"/>
      <c r="F91" s="2"/>
      <c r="G91" s="2"/>
      <c r="H91" s="2"/>
      <c r="I91" s="2"/>
      <c r="J91" s="2"/>
      <c r="K91" s="2"/>
      <c r="L91" s="2"/>
      <c r="M91" s="2"/>
      <c r="N91" s="2"/>
      <c r="O91" s="2"/>
      <c r="P91" s="2"/>
      <c r="Q91" s="2"/>
      <c r="R91" s="2"/>
      <c r="S91" s="2"/>
      <c r="T91" s="2"/>
      <c r="U91" s="2"/>
    </row>
    <row r="92" s="1" customFormat="1" spans="1:21">
      <c r="A92" s="2">
        <v>186</v>
      </c>
      <c r="B92" s="2"/>
      <c r="C92" s="2"/>
      <c r="D92" s="2"/>
      <c r="E92" s="2"/>
      <c r="F92" s="2"/>
      <c r="G92" s="2"/>
      <c r="H92" s="2"/>
      <c r="I92" s="2"/>
      <c r="J92" s="2"/>
      <c r="K92" s="2"/>
      <c r="L92" s="2"/>
      <c r="M92" s="2"/>
      <c r="N92" s="2"/>
      <c r="O92" s="2"/>
      <c r="P92" s="2"/>
      <c r="Q92" s="2"/>
      <c r="R92" s="2"/>
      <c r="S92" s="2"/>
      <c r="T92" s="2"/>
      <c r="U92" s="2"/>
    </row>
    <row r="93" s="1" customFormat="1" spans="1:21">
      <c r="A93" s="2">
        <v>173</v>
      </c>
      <c r="B93" s="2"/>
      <c r="C93" s="2"/>
      <c r="D93" s="2"/>
      <c r="E93" s="2"/>
      <c r="F93" s="2"/>
      <c r="G93" s="2"/>
      <c r="H93" s="2"/>
      <c r="I93" s="2"/>
      <c r="J93" s="2"/>
      <c r="K93" s="2"/>
      <c r="L93" s="2"/>
      <c r="M93" s="2"/>
      <c r="N93" s="2"/>
      <c r="O93" s="2"/>
      <c r="P93" s="2"/>
      <c r="Q93" s="2"/>
      <c r="R93" s="2"/>
      <c r="S93" s="2"/>
      <c r="T93" s="2"/>
      <c r="U93" s="2"/>
    </row>
    <row r="94" s="1" customFormat="1" spans="1:21">
      <c r="A94" s="2">
        <v>175</v>
      </c>
      <c r="B94" s="2"/>
      <c r="C94" s="2"/>
      <c r="D94" s="2"/>
      <c r="E94" s="2"/>
      <c r="F94" s="2"/>
      <c r="G94" s="2"/>
      <c r="H94" s="2"/>
      <c r="I94" s="2"/>
      <c r="J94" s="2"/>
      <c r="K94" s="2"/>
      <c r="L94" s="2"/>
      <c r="M94" s="2"/>
      <c r="N94" s="2"/>
      <c r="O94" s="2"/>
      <c r="P94" s="2"/>
      <c r="Q94" s="2"/>
      <c r="R94" s="2"/>
      <c r="S94" s="2"/>
      <c r="T94" s="2"/>
      <c r="U94" s="2"/>
    </row>
    <row r="95" s="1" customFormat="1" spans="1:21">
      <c r="A95" s="2">
        <v>219</v>
      </c>
      <c r="B95" s="2"/>
      <c r="C95" s="2"/>
      <c r="D95" s="2"/>
      <c r="E95" s="2"/>
      <c r="F95" s="2"/>
      <c r="G95" s="2"/>
      <c r="H95" s="2"/>
      <c r="I95" s="2"/>
      <c r="J95" s="2"/>
      <c r="K95" s="2"/>
      <c r="L95" s="2"/>
      <c r="M95" s="2"/>
      <c r="N95" s="2"/>
      <c r="O95" s="2"/>
      <c r="P95" s="2"/>
      <c r="Q95" s="2"/>
      <c r="R95" s="2"/>
      <c r="S95" s="2"/>
      <c r="T95" s="2"/>
      <c r="U95" s="2"/>
    </row>
    <row r="96" s="1" customFormat="1" spans="1:21">
      <c r="A96" s="2">
        <v>220</v>
      </c>
      <c r="B96" s="2"/>
      <c r="C96" s="2"/>
      <c r="D96" s="2"/>
      <c r="E96" s="2"/>
      <c r="F96" s="2"/>
      <c r="G96" s="2"/>
      <c r="H96" s="2"/>
      <c r="I96" s="2"/>
      <c r="J96" s="2"/>
      <c r="K96" s="2"/>
      <c r="L96" s="2"/>
      <c r="M96" s="2"/>
      <c r="N96" s="2"/>
      <c r="O96" s="2"/>
      <c r="P96" s="2"/>
      <c r="Q96" s="2"/>
      <c r="R96" s="2"/>
      <c r="S96" s="2"/>
      <c r="T96" s="2"/>
      <c r="U96" s="2"/>
    </row>
    <row r="97" s="1" customFormat="1" spans="1:21">
      <c r="A97" s="2">
        <v>292</v>
      </c>
      <c r="B97" s="2"/>
      <c r="C97" s="2"/>
      <c r="D97" s="2"/>
      <c r="E97" s="2"/>
      <c r="F97" s="2"/>
      <c r="G97" s="2"/>
      <c r="H97" s="2"/>
      <c r="I97" s="2"/>
      <c r="J97" s="2"/>
      <c r="K97" s="2"/>
      <c r="L97" s="2"/>
      <c r="M97" s="2"/>
      <c r="N97" s="2"/>
      <c r="O97" s="2"/>
      <c r="P97" s="2"/>
      <c r="Q97" s="2"/>
      <c r="R97" s="2"/>
      <c r="S97" s="2"/>
      <c r="T97" s="2"/>
      <c r="U97" s="2"/>
    </row>
    <row r="98" s="1" customFormat="1" spans="1:21">
      <c r="A98" s="2">
        <v>244</v>
      </c>
      <c r="B98" s="2"/>
      <c r="C98" s="2"/>
      <c r="D98" s="2"/>
      <c r="E98" s="2"/>
      <c r="F98" s="2"/>
      <c r="G98" s="2"/>
      <c r="H98" s="2"/>
      <c r="I98" s="2"/>
      <c r="J98" s="2"/>
      <c r="K98" s="2"/>
      <c r="L98" s="2"/>
      <c r="M98" s="2"/>
      <c r="N98" s="2"/>
      <c r="O98" s="2"/>
      <c r="P98" s="2"/>
      <c r="Q98" s="2"/>
      <c r="R98" s="2"/>
      <c r="S98" s="2"/>
      <c r="T98" s="2"/>
      <c r="U98" s="2"/>
    </row>
    <row r="99" s="1" customFormat="1" spans="1:21">
      <c r="A99" s="2">
        <v>303</v>
      </c>
      <c r="B99" s="2"/>
      <c r="C99" s="2"/>
      <c r="D99" s="2"/>
      <c r="E99" s="2"/>
      <c r="F99" s="2"/>
      <c r="G99" s="2"/>
      <c r="H99" s="2"/>
      <c r="I99" s="2"/>
      <c r="J99" s="2"/>
      <c r="K99" s="2"/>
      <c r="L99" s="2"/>
      <c r="M99" s="2"/>
      <c r="N99" s="2"/>
      <c r="O99" s="2"/>
      <c r="P99" s="2"/>
      <c r="Q99" s="2"/>
      <c r="R99" s="2"/>
      <c r="S99" s="2"/>
      <c r="T99" s="2"/>
      <c r="U99" s="2"/>
    </row>
    <row r="100" s="1" customFormat="1" spans="1:21">
      <c r="A100" s="2">
        <v>282</v>
      </c>
      <c r="B100" s="2"/>
      <c r="C100" s="2"/>
      <c r="D100" s="2"/>
      <c r="E100" s="2"/>
      <c r="F100" s="2"/>
      <c r="G100" s="2"/>
      <c r="H100" s="2"/>
      <c r="I100" s="2"/>
      <c r="J100" s="2"/>
      <c r="K100" s="2"/>
      <c r="L100" s="2"/>
      <c r="M100" s="2"/>
      <c r="N100" s="2"/>
      <c r="O100" s="2"/>
      <c r="P100" s="2"/>
      <c r="Q100" s="2"/>
      <c r="R100" s="2"/>
      <c r="S100" s="2"/>
      <c r="T100" s="2"/>
      <c r="U100" s="2"/>
    </row>
    <row r="101" s="1" customFormat="1" spans="1:21">
      <c r="A101" s="2">
        <v>236</v>
      </c>
      <c r="B101" s="2"/>
      <c r="C101" s="2"/>
      <c r="D101" s="2"/>
      <c r="E101" s="2"/>
      <c r="F101" s="2"/>
      <c r="G101" s="2"/>
      <c r="H101" s="2"/>
      <c r="I101" s="2"/>
      <c r="J101" s="2"/>
      <c r="K101" s="2"/>
      <c r="L101" s="2"/>
      <c r="M101" s="2"/>
      <c r="N101" s="2"/>
      <c r="O101" s="2"/>
      <c r="P101" s="2"/>
      <c r="Q101" s="2"/>
      <c r="R101" s="2"/>
      <c r="S101" s="2"/>
      <c r="T101" s="2"/>
      <c r="U101" s="2"/>
    </row>
    <row r="102" s="1" customFormat="1" spans="1:21">
      <c r="A102" s="2">
        <v>271</v>
      </c>
      <c r="B102" s="2"/>
      <c r="C102" s="2"/>
      <c r="D102" s="2"/>
      <c r="E102" s="2"/>
      <c r="F102" s="2"/>
      <c r="G102" s="2"/>
      <c r="H102" s="2"/>
      <c r="I102" s="2"/>
      <c r="J102" s="2"/>
      <c r="K102" s="2"/>
      <c r="L102" s="2"/>
      <c r="M102" s="2"/>
      <c r="N102" s="2"/>
      <c r="O102" s="2"/>
      <c r="P102" s="2"/>
      <c r="Q102" s="2"/>
      <c r="R102" s="2"/>
      <c r="S102" s="2"/>
      <c r="T102" s="2"/>
      <c r="U102" s="2"/>
    </row>
    <row r="103" s="1" customFormat="1" spans="1:21">
      <c r="A103" s="2">
        <v>226</v>
      </c>
      <c r="B103" s="2"/>
      <c r="C103" s="2"/>
      <c r="D103" s="2"/>
      <c r="E103" s="2"/>
      <c r="F103" s="2"/>
      <c r="G103" s="2"/>
      <c r="H103" s="2"/>
      <c r="I103" s="2"/>
      <c r="J103" s="2"/>
      <c r="K103" s="2"/>
      <c r="L103" s="2"/>
      <c r="M103" s="2"/>
      <c r="N103" s="2"/>
      <c r="O103" s="2"/>
      <c r="P103" s="2"/>
      <c r="Q103" s="2"/>
      <c r="R103" s="2"/>
      <c r="S103" s="2"/>
      <c r="T103" s="2"/>
      <c r="U103" s="2"/>
    </row>
    <row r="104" s="1" customFormat="1" spans="1:21">
      <c r="A104" s="2">
        <v>318</v>
      </c>
      <c r="B104" s="2"/>
      <c r="C104" s="2"/>
      <c r="D104" s="2"/>
      <c r="E104" s="2"/>
      <c r="F104" s="2"/>
      <c r="G104" s="2"/>
      <c r="H104" s="2"/>
      <c r="I104" s="2"/>
      <c r="J104" s="2"/>
      <c r="K104" s="2"/>
      <c r="L104" s="2"/>
      <c r="M104" s="2"/>
      <c r="N104" s="2"/>
      <c r="O104" s="2"/>
      <c r="P104" s="2"/>
      <c r="Q104" s="2"/>
      <c r="R104" s="2"/>
      <c r="S104" s="2"/>
      <c r="T104" s="2"/>
      <c r="U104" s="2"/>
    </row>
    <row r="105" s="1" customFormat="1" spans="1:21">
      <c r="A105" s="2">
        <v>237</v>
      </c>
      <c r="B105" s="2"/>
      <c r="C105" s="2"/>
      <c r="D105" s="2"/>
      <c r="E105" s="2"/>
      <c r="F105" s="2"/>
      <c r="G105" s="2"/>
      <c r="H105" s="2"/>
      <c r="I105" s="2"/>
      <c r="J105" s="2"/>
      <c r="K105" s="2"/>
      <c r="L105" s="2"/>
      <c r="M105" s="2"/>
      <c r="N105" s="2"/>
      <c r="O105" s="2"/>
      <c r="P105" s="2"/>
      <c r="Q105" s="2"/>
      <c r="R105" s="2"/>
      <c r="S105" s="2"/>
      <c r="T105" s="2"/>
      <c r="U105" s="2"/>
    </row>
    <row r="106" s="1" customFormat="1" spans="1:21">
      <c r="A106" s="2">
        <v>293</v>
      </c>
      <c r="B106" s="2"/>
      <c r="C106" s="2"/>
      <c r="D106" s="2"/>
      <c r="E106" s="2"/>
      <c r="F106" s="2"/>
      <c r="G106" s="2"/>
      <c r="H106" s="2"/>
      <c r="I106" s="2"/>
      <c r="J106" s="2"/>
      <c r="K106" s="2"/>
      <c r="L106" s="2"/>
      <c r="M106" s="2"/>
      <c r="N106" s="2"/>
      <c r="O106" s="2"/>
      <c r="P106" s="2"/>
      <c r="Q106" s="2"/>
      <c r="R106" s="2"/>
      <c r="S106" s="2"/>
      <c r="T106" s="2"/>
      <c r="U106" s="2"/>
    </row>
    <row r="107" s="1" customFormat="1" spans="1:21">
      <c r="A107" s="2">
        <v>218</v>
      </c>
      <c r="B107" s="2"/>
      <c r="C107" s="2"/>
      <c r="D107" s="2"/>
      <c r="E107" s="2"/>
      <c r="F107" s="2"/>
      <c r="G107" s="2"/>
      <c r="H107" s="2"/>
      <c r="I107" s="2"/>
      <c r="J107" s="2"/>
      <c r="K107" s="2"/>
      <c r="L107" s="2"/>
      <c r="M107" s="2"/>
      <c r="N107" s="2"/>
      <c r="O107" s="2"/>
      <c r="P107" s="2"/>
      <c r="Q107" s="2"/>
      <c r="R107" s="2"/>
      <c r="S107" s="2"/>
      <c r="T107" s="2"/>
      <c r="U107" s="2"/>
    </row>
    <row r="108" s="1" customFormat="1" spans="1:21">
      <c r="A108" s="2">
        <v>217</v>
      </c>
      <c r="B108" s="2"/>
      <c r="C108" s="2"/>
      <c r="D108" s="2"/>
      <c r="E108" s="2"/>
      <c r="F108" s="2"/>
      <c r="G108" s="2"/>
      <c r="H108" s="2"/>
      <c r="I108" s="2"/>
      <c r="J108" s="2"/>
      <c r="K108" s="2"/>
      <c r="L108" s="2"/>
      <c r="M108" s="2"/>
      <c r="N108" s="2"/>
      <c r="O108" s="2"/>
      <c r="P108" s="2"/>
      <c r="Q108" s="2"/>
      <c r="R108" s="2"/>
      <c r="S108" s="2"/>
      <c r="T108" s="2"/>
      <c r="U108" s="2"/>
    </row>
    <row r="109" s="1" customFormat="1" spans="1:21">
      <c r="A109" s="2">
        <v>218</v>
      </c>
      <c r="B109" s="2"/>
      <c r="C109" s="2"/>
      <c r="D109" s="2"/>
      <c r="E109" s="2"/>
      <c r="F109" s="2"/>
      <c r="G109" s="2"/>
      <c r="H109" s="2"/>
      <c r="I109" s="2"/>
      <c r="J109" s="2"/>
      <c r="K109" s="2"/>
      <c r="L109" s="2"/>
      <c r="M109" s="2"/>
      <c r="N109" s="2"/>
      <c r="O109" s="2"/>
      <c r="P109" s="2"/>
      <c r="Q109" s="2"/>
      <c r="R109" s="2"/>
      <c r="S109" s="2"/>
      <c r="T109" s="2"/>
      <c r="U109" s="2"/>
    </row>
    <row r="110" s="1" customFormat="1" spans="1:21">
      <c r="A110" s="2">
        <v>295</v>
      </c>
      <c r="B110" s="2"/>
      <c r="C110" s="2"/>
      <c r="D110" s="2"/>
      <c r="E110" s="2"/>
      <c r="F110" s="2"/>
      <c r="G110" s="2"/>
      <c r="H110" s="2"/>
      <c r="I110" s="2"/>
      <c r="J110" s="2"/>
      <c r="K110" s="2"/>
      <c r="L110" s="2"/>
      <c r="M110" s="2"/>
      <c r="N110" s="2"/>
      <c r="O110" s="2"/>
      <c r="P110" s="2"/>
      <c r="Q110" s="2"/>
      <c r="R110" s="2"/>
      <c r="S110" s="2"/>
      <c r="T110" s="2"/>
      <c r="U110" s="2"/>
    </row>
    <row r="111" s="1" customFormat="1" spans="1:21">
      <c r="A111" s="2">
        <v>301</v>
      </c>
      <c r="B111" s="2"/>
      <c r="C111" s="2"/>
      <c r="D111" s="2"/>
      <c r="E111" s="2"/>
      <c r="F111" s="2"/>
      <c r="G111" s="2"/>
      <c r="H111" s="2"/>
      <c r="I111" s="2"/>
      <c r="J111" s="2"/>
      <c r="K111" s="2"/>
      <c r="L111" s="2"/>
      <c r="M111" s="2"/>
      <c r="N111" s="2"/>
      <c r="O111" s="2"/>
      <c r="P111" s="2"/>
      <c r="Q111" s="2"/>
      <c r="R111" s="2"/>
      <c r="S111" s="2"/>
      <c r="T111" s="2"/>
      <c r="U111" s="2"/>
    </row>
    <row r="112" s="1" customFormat="1" spans="1:21">
      <c r="A112" s="2">
        <v>185</v>
      </c>
      <c r="B112" s="2"/>
      <c r="C112" s="2"/>
      <c r="D112" s="2"/>
      <c r="E112" s="2"/>
      <c r="F112" s="2"/>
      <c r="G112" s="2"/>
      <c r="H112" s="2"/>
      <c r="I112" s="2"/>
      <c r="J112" s="2"/>
      <c r="K112" s="2"/>
      <c r="L112" s="2"/>
      <c r="M112" s="2"/>
      <c r="N112" s="2"/>
      <c r="O112" s="2"/>
      <c r="P112" s="2"/>
      <c r="Q112" s="2"/>
      <c r="R112" s="2"/>
      <c r="S112" s="2"/>
      <c r="T112" s="2"/>
      <c r="U112" s="2"/>
    </row>
    <row r="113" s="1" customFormat="1" spans="1:21">
      <c r="A113" s="2">
        <v>216</v>
      </c>
      <c r="B113" s="2"/>
      <c r="C113" s="2"/>
      <c r="D113" s="2"/>
      <c r="E113" s="2"/>
      <c r="F113" s="2"/>
      <c r="G113" s="2"/>
      <c r="H113" s="2"/>
      <c r="I113" s="2"/>
      <c r="J113" s="2"/>
      <c r="K113" s="2"/>
      <c r="L113" s="2"/>
      <c r="M113" s="2"/>
      <c r="N113" s="2"/>
      <c r="O113" s="2"/>
      <c r="P113" s="2"/>
      <c r="Q113" s="2"/>
      <c r="R113" s="2"/>
      <c r="S113" s="2"/>
      <c r="T113" s="2"/>
      <c r="U113" s="2"/>
    </row>
    <row r="114" s="1" customFormat="1" spans="1:21">
      <c r="A114" s="2">
        <v>195</v>
      </c>
      <c r="B114" s="2"/>
      <c r="C114" s="2"/>
      <c r="D114" s="2"/>
      <c r="E114" s="2"/>
      <c r="F114" s="2"/>
      <c r="G114" s="2"/>
      <c r="H114" s="2"/>
      <c r="I114" s="2"/>
      <c r="J114" s="2"/>
      <c r="K114" s="2"/>
      <c r="L114" s="2"/>
      <c r="M114" s="2"/>
      <c r="N114" s="2"/>
      <c r="O114" s="2"/>
      <c r="P114" s="2"/>
      <c r="Q114" s="2"/>
      <c r="R114" s="2"/>
      <c r="S114" s="2"/>
      <c r="T114" s="2"/>
      <c r="U114" s="2"/>
    </row>
    <row r="115" s="1" customFormat="1" spans="1:21">
      <c r="A115" s="2">
        <v>220</v>
      </c>
      <c r="B115" s="2"/>
      <c r="C115" s="2"/>
      <c r="D115" s="2"/>
      <c r="E115" s="2"/>
      <c r="F115" s="2"/>
      <c r="G115" s="2"/>
      <c r="H115" s="2"/>
      <c r="I115" s="2"/>
      <c r="J115" s="2"/>
      <c r="K115" s="2"/>
      <c r="L115" s="2"/>
      <c r="M115" s="2"/>
      <c r="N115" s="2"/>
      <c r="O115" s="2"/>
      <c r="P115" s="2"/>
      <c r="Q115" s="2"/>
      <c r="R115" s="2"/>
      <c r="S115" s="2"/>
      <c r="T115" s="2"/>
      <c r="U115" s="2"/>
    </row>
    <row r="116" s="1" customFormat="1" spans="1:21">
      <c r="A116" s="2">
        <v>269</v>
      </c>
      <c r="B116" s="2"/>
      <c r="C116" s="2"/>
      <c r="D116" s="2"/>
      <c r="E116" s="2"/>
      <c r="F116" s="2"/>
      <c r="G116" s="2"/>
      <c r="H116" s="2"/>
      <c r="I116" s="2"/>
      <c r="J116" s="2"/>
      <c r="K116" s="2"/>
      <c r="L116" s="2"/>
      <c r="M116" s="2"/>
      <c r="N116" s="2"/>
      <c r="O116" s="2"/>
      <c r="P116" s="2"/>
      <c r="Q116" s="2"/>
      <c r="R116" s="2"/>
      <c r="S116" s="2"/>
      <c r="T116" s="2"/>
      <c r="U116" s="2"/>
    </row>
    <row r="117" s="1" customFormat="1" spans="1:21">
      <c r="A117" s="2">
        <v>265</v>
      </c>
      <c r="B117" s="2"/>
      <c r="C117" s="2"/>
      <c r="D117" s="2"/>
      <c r="E117" s="2"/>
      <c r="F117" s="2"/>
      <c r="G117" s="2"/>
      <c r="H117" s="2"/>
      <c r="I117" s="2"/>
      <c r="J117" s="2"/>
      <c r="K117" s="2"/>
      <c r="L117" s="2"/>
      <c r="M117" s="2"/>
      <c r="N117" s="2"/>
      <c r="O117" s="2"/>
      <c r="P117" s="2"/>
      <c r="Q117" s="2"/>
      <c r="R117" s="2"/>
      <c r="S117" s="2"/>
      <c r="T117" s="2"/>
      <c r="U117" s="2"/>
    </row>
    <row r="118" s="1" customFormat="1" spans="1:21">
      <c r="A118" s="2">
        <v>183</v>
      </c>
      <c r="B118" s="2"/>
      <c r="C118" s="2"/>
      <c r="D118" s="2"/>
      <c r="E118" s="2"/>
      <c r="F118" s="2"/>
      <c r="G118" s="2"/>
      <c r="H118" s="2"/>
      <c r="I118" s="2"/>
      <c r="J118" s="2"/>
      <c r="K118" s="2"/>
      <c r="L118" s="2"/>
      <c r="M118" s="2"/>
      <c r="N118" s="2"/>
      <c r="O118" s="2"/>
      <c r="P118" s="2"/>
      <c r="Q118" s="2"/>
      <c r="R118" s="2"/>
      <c r="S118" s="2"/>
      <c r="T118" s="2"/>
      <c r="U118" s="2"/>
    </row>
    <row r="119" s="1" customFormat="1" spans="1:21">
      <c r="A119" s="2">
        <v>208</v>
      </c>
      <c r="B119" s="2"/>
      <c r="C119" s="2"/>
      <c r="D119" s="2"/>
      <c r="E119" s="2"/>
      <c r="F119" s="2"/>
      <c r="G119" s="2"/>
      <c r="H119" s="2"/>
      <c r="I119" s="2"/>
      <c r="J119" s="2"/>
      <c r="K119" s="2"/>
      <c r="L119" s="2"/>
      <c r="M119" s="2"/>
      <c r="N119" s="2"/>
      <c r="O119" s="2"/>
      <c r="P119" s="2"/>
      <c r="Q119" s="2"/>
      <c r="R119" s="2"/>
      <c r="S119" s="2"/>
      <c r="T119" s="2"/>
      <c r="U119" s="2"/>
    </row>
    <row r="120" s="1" customFormat="1" spans="1:21">
      <c r="A120" s="2">
        <v>260</v>
      </c>
      <c r="B120" s="2"/>
      <c r="C120" s="2"/>
      <c r="D120" s="2"/>
      <c r="E120" s="2"/>
      <c r="F120" s="2"/>
      <c r="G120" s="2"/>
      <c r="H120" s="2"/>
      <c r="I120" s="2"/>
      <c r="J120" s="2"/>
      <c r="K120" s="2"/>
      <c r="L120" s="2"/>
      <c r="M120" s="2"/>
      <c r="N120" s="2"/>
      <c r="O120" s="2"/>
      <c r="P120" s="2"/>
      <c r="Q120" s="2"/>
      <c r="R120" s="2"/>
      <c r="S120" s="2"/>
      <c r="T120" s="2"/>
      <c r="U120" s="2"/>
    </row>
    <row r="121" s="1" customFormat="1" spans="1:21">
      <c r="A121" s="2">
        <v>184</v>
      </c>
      <c r="B121" s="2"/>
      <c r="C121" s="2"/>
      <c r="D121" s="2"/>
      <c r="E121" s="2"/>
      <c r="F121" s="2"/>
      <c r="G121" s="2"/>
      <c r="H121" s="2"/>
      <c r="I121" s="2"/>
      <c r="J121" s="2"/>
      <c r="K121" s="2"/>
      <c r="L121" s="2"/>
      <c r="M121" s="2"/>
      <c r="N121" s="2"/>
      <c r="O121" s="2"/>
      <c r="P121" s="2"/>
      <c r="Q121" s="2"/>
      <c r="R121" s="2"/>
      <c r="S121" s="2"/>
      <c r="T121" s="2"/>
      <c r="U121" s="2"/>
    </row>
    <row r="122" s="1" customFormat="1" spans="1:21">
      <c r="A122" s="2">
        <v>219</v>
      </c>
      <c r="B122" s="2"/>
      <c r="C122" s="2"/>
      <c r="D122" s="2"/>
      <c r="E122" s="2"/>
      <c r="F122" s="2"/>
      <c r="G122" s="2"/>
      <c r="H122" s="2"/>
      <c r="I122" s="2"/>
      <c r="J122" s="2"/>
      <c r="K122" s="2"/>
      <c r="L122" s="2"/>
      <c r="M122" s="2"/>
      <c r="N122" s="2"/>
      <c r="O122" s="2"/>
      <c r="P122" s="2"/>
      <c r="Q122" s="2"/>
      <c r="R122" s="2"/>
      <c r="S122" s="2"/>
      <c r="T122" s="2"/>
      <c r="U122" s="2"/>
    </row>
    <row r="123" s="1" customFormat="1" spans="1:21">
      <c r="A123" s="2">
        <v>200</v>
      </c>
      <c r="B123" s="2"/>
      <c r="C123" s="2"/>
      <c r="D123" s="2"/>
      <c r="E123" s="2"/>
      <c r="F123" s="2"/>
      <c r="G123" s="2"/>
      <c r="H123" s="2"/>
      <c r="I123" s="2"/>
      <c r="J123" s="2"/>
      <c r="K123" s="2"/>
      <c r="L123" s="2"/>
      <c r="M123" s="2"/>
      <c r="N123" s="2"/>
      <c r="O123" s="2"/>
      <c r="P123" s="2"/>
      <c r="Q123" s="2"/>
      <c r="R123" s="2"/>
      <c r="S123" s="2"/>
      <c r="T123" s="2"/>
      <c r="U123" s="2"/>
    </row>
    <row r="124" s="1" customFormat="1" spans="1:21">
      <c r="A124" s="2">
        <v>210</v>
      </c>
      <c r="B124" s="2"/>
      <c r="C124" s="2"/>
      <c r="D124" s="2"/>
      <c r="E124" s="2"/>
      <c r="F124" s="2"/>
      <c r="G124" s="2"/>
      <c r="H124" s="2"/>
      <c r="I124" s="2"/>
      <c r="J124" s="2"/>
      <c r="K124" s="2"/>
      <c r="L124" s="2"/>
      <c r="M124" s="2"/>
      <c r="N124" s="2"/>
      <c r="O124" s="2"/>
      <c r="P124" s="2"/>
      <c r="Q124" s="2"/>
      <c r="R124" s="2"/>
      <c r="S124" s="2"/>
      <c r="T124" s="2"/>
      <c r="U124" s="2"/>
    </row>
    <row r="125" s="1" customFormat="1" spans="1:21">
      <c r="A125" s="2">
        <v>200</v>
      </c>
      <c r="B125" s="2"/>
      <c r="C125" s="2"/>
      <c r="D125" s="2"/>
      <c r="E125" s="2"/>
      <c r="F125" s="2"/>
      <c r="G125" s="2"/>
      <c r="H125" s="2"/>
      <c r="I125" s="2"/>
      <c r="J125" s="2"/>
      <c r="K125" s="2"/>
      <c r="L125" s="2"/>
      <c r="M125" s="2"/>
      <c r="N125" s="2"/>
      <c r="O125" s="2"/>
      <c r="P125" s="2"/>
      <c r="Q125" s="2"/>
      <c r="R125" s="2"/>
      <c r="S125" s="2"/>
      <c r="T125" s="2"/>
      <c r="U125" s="2"/>
    </row>
    <row r="126" s="1" customFormat="1" spans="1:21">
      <c r="A126" s="2">
        <v>247</v>
      </c>
      <c r="B126" s="2"/>
      <c r="C126" s="2"/>
      <c r="D126" s="2"/>
      <c r="E126" s="2"/>
      <c r="F126" s="2"/>
      <c r="G126" s="2"/>
      <c r="H126" s="2"/>
      <c r="I126" s="2"/>
      <c r="J126" s="2"/>
      <c r="K126" s="2"/>
      <c r="L126" s="2"/>
      <c r="M126" s="2"/>
      <c r="N126" s="2"/>
      <c r="O126" s="2"/>
      <c r="P126" s="2"/>
      <c r="Q126" s="2"/>
      <c r="R126" s="2"/>
      <c r="S126" s="2"/>
      <c r="T126" s="2"/>
      <c r="U126"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Sheet1-example 公交站等待时间</vt:lpstr>
      <vt:lpstr>Sheet2-exercise</vt:lpstr>
      <vt:lpstr>Sheet3-exercise</vt:lpstr>
      <vt:lpstr>Sheet4-exercise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dc:creator>
  <cp:lastModifiedBy>姜宇琪</cp:lastModifiedBy>
  <dcterms:created xsi:type="dcterms:W3CDTF">2013-03-14T15:14:00Z</dcterms:created>
  <dcterms:modified xsi:type="dcterms:W3CDTF">2026-10-19T08:43:59Z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AD22EAA70A6C4376BF102FE82B13B7AB_13</vt:lpwstr>
  </property>
  <property fmtid="{D5CDD505-2E9C-101B-9397-08002B2CF9AE}" pid="3" name="KSOProductBuildVer">
    <vt:lpwstr>1033-12.1.0.29162</vt:lpwstr>
  </property>
  <property fmtid="{D5CDD505-2E9C-101B-9397-08002B2CF9AE}" pid="4" name="CalculationRule">
    <vt:i4>0</vt:i4>
  </property>
</Properties>
</file>